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硬件台账" sheetId="2" r:id="rId5"/>
    <sheet name="需求覆盖" sheetId="3" r:id="rId6"/>
    <sheet name="采购与预算" sheetId="4" r:id="rId7"/>
    <sheet name="引脚分配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<sst xmlns="http://schemas.openxmlformats.org/spreadsheetml/2006/main" count="453" uniqueCount="453">
  <si>
    <t xml:space="preserve">  </t>
  </si>
  <si>
    <t xml:space="preserve">工业环境检测系统 · 下位机硬件台账</t>
  </si>
  <si>
    <t xml:space="preserve">版本 v1.5 · 更新 2026-10-10 · 全部物料已购齐 · 主控 STM32F407ZGT6 · 传感器 21VOC(UART5)/DHT11/MQ-2/MQ-7/光敏 · RS485组网</t>
  </si>
  <si>
    <t xml:space="preserve">序号</t>
  </si>
  <si>
    <t xml:space="preserve">模块名称</t>
  </si>
  <si>
    <t xml:space="preserve">类别</t>
  </si>
  <si>
    <t xml:space="preserve">型号/规格</t>
  </si>
  <si>
    <t xml:space="preserve">接口</t>
  </si>
  <si>
    <t xml:space="preserve">对应需求</t>
  </si>
  <si>
    <t xml:space="preserve">状态</t>
  </si>
  <si>
    <t xml:space="preserve">数量</t>
  </si>
  <si>
    <t xml:space="preserve">估算单价(元)</t>
  </si>
  <si>
    <t xml:space="preserve">估算小计(元)</t>
  </si>
  <si>
    <t xml:space="preserve">用途/接线备注</t>
  </si>
  <si>
    <t xml:space="preserve">判定理由</t>
  </si>
  <si>
    <t xml:space="preserve">STM32F407ZGT6 核心板</t>
  </si>
  <si>
    <t xml:space="preserve">主控</t>
  </si>
  <si>
    <t xml:space="preserve">M4F 168MHz / 1MB Flash / 192KB RAM / LQFP144 / 6×USART / 3×SPI / 3×I2C / ADC / 2×CAN / 以太网MAC</t>
  </si>
  <si>
    <t xml:space="preserve">—</t>
  </si>
  <si>
    <t xml:space="preserve">系统主控</t>
  </si>
  <si>
    <t xml:space="preserve">✅已有可用</t>
  </si>
  <si>
    <t xml:space="preserve">ST-Link SWD 烧录调试</t>
  </si>
  <si>
    <t xml:space="preserve">资源远超需求，性能无忧</t>
  </si>
  <si>
    <t xml:space="preserve">DHT11 温湿度传感器</t>
  </si>
  <si>
    <t xml:space="preserve">传感器-温湿度</t>
  </si>
  <si>
    <t xml:space="preserve">单总线 1-wire / 0–50℃±2℃ / 20–90%RH±5% / 采样≥1s</t>
  </si>
  <si>
    <t xml:space="preserve">单总线 GPIO</t>
  </si>
  <si>
    <t xml:space="preserve">温度、湿度</t>
  </si>
  <si>
    <t xml:space="preserve">❌不使用（21VOC已覆盖温湿度）</t>
  </si>
  <si>
    <t xml:space="preserve">21VOC UART帧自带温湿度(0.1°C/0.1%RH)，精度优于DHT11；模块保留备用</t>
  </si>
  <si>
    <t xml:space="preserve">原型够用；工业严格场合后续可换 SHT30</t>
  </si>
  <si>
    <t xml:space="preserve">CH340 USB转TTL</t>
  </si>
  <si>
    <t xml:space="preserve">通信</t>
  </si>
  <si>
    <t xml:space="preserve">USB↔TTL 3.3/5V</t>
  </si>
  <si>
    <t xml:space="preserve">USB / USART</t>
  </si>
  <si>
    <t xml:space="preserve">上位机通信</t>
  </si>
  <si>
    <t xml:space="preserve">单机直连 PC（Qt 串口）</t>
  </si>
  <si>
    <t xml:space="preserve">多节点组网时再加 USB转485</t>
  </si>
  <si>
    <t xml:space="preserve">MQ-2 烟雾传感器</t>
  </si>
  <si>
    <t xml:space="preserve">传感器-气体</t>
  </si>
  <si>
    <t xml:space="preserve">SnO₂ 半导体 / 可燃气体+烟雾 / AO+DO</t>
  </si>
  <si>
    <t xml:space="preserve">ADC / GPIO</t>
  </si>
  <si>
    <t xml:space="preserve">烟雾浓度</t>
  </si>
  <si>
    <t xml:space="preserve">AO 分压 0–3.3V 进 ADC；上电预热约 5 分钟</t>
  </si>
  <si>
    <t xml:space="preserve">对应“烟雾浓度”需求</t>
  </si>
  <si>
    <t xml:space="preserve">热敏电阻模块（NTC+LM393）</t>
  </si>
  <si>
    <t xml:space="preserve">检测约 20–80℃ / AO+DO / 电位器</t>
  </si>
  <si>
    <t xml:space="preserve">温度（备用）</t>
  </si>
  <si>
    <t xml:space="preserve">⚠️备用</t>
  </si>
  <si>
    <t xml:space="preserve">与 DHT11 测温重叠；可选作第 2 路温度</t>
  </si>
  <si>
    <t xml:space="preserve">不需要（备用）；DO 可作硬件超温联锁</t>
  </si>
  <si>
    <t xml:space="preserve">光敏电阻 5516 模块</t>
  </si>
  <si>
    <t xml:space="preserve">传感器-光线</t>
  </si>
  <si>
    <t xml:space="preserve">LDR+LM393 / 3.3–5V / AO+DO / 电位器</t>
  </si>
  <si>
    <t xml:space="preserve">光线/明暗控灯</t>
  </si>
  <si>
    <t xml:space="preserve">AO 分压进 ADC；DO 判明暗；电压需标定</t>
  </si>
  <si>
    <t xml:space="preserve">明暗控制够用</t>
  </si>
  <si>
    <t xml:space="preserve">2.4寸 TFT 红板（触摸+SD）</t>
  </si>
  <si>
    <t xml:space="preserve">显示交互</t>
  </si>
  <si>
    <t xml:space="preserve">240×320 SPI / ILI9341 或 ST7789V / XPT2046 触摸 / SD 卡座</t>
  </si>
  <si>
    <t xml:space="preserve">SPI / GPIO</t>
  </si>
  <si>
    <t xml:space="preserve">液晶显示/阈值设置/本地存储</t>
  </si>
  <si>
    <t xml:space="preserve">触摸屏替代物理按键；驱动先试 ILI9341</t>
  </si>
  <si>
    <t xml:space="preserve">超配</t>
  </si>
  <si>
    <t xml:space="preserve">TB6612 电机驱动模块</t>
  </si>
  <si>
    <t xml:space="preserve">执行器</t>
  </si>
  <si>
    <t xml:space="preserve">双 H 桥 / VM≤15V / VCC 2.7–5.5V / 单路 1.2A(峰3.2A)</t>
  </si>
  <si>
    <t xml:space="preserve">GPIO / PWM</t>
  </si>
  <si>
    <t xml:space="preserve">风扇驱动（调速）</t>
  </si>
  <si>
    <t xml:space="preserve">AIN1/AIN2 定方向+PWMA 调速；STBY 拉高；共地</t>
  </si>
  <si>
    <t xml:space="preserve">替代 MOSFET×2</t>
  </si>
  <si>
    <t xml:space="preserve">小马达+风扇</t>
  </si>
  <si>
    <t xml:space="preserve">直流电机+扇叶（约 3–6V）</t>
  </si>
  <si>
    <t xml:space="preserve">电机两线</t>
  </si>
  <si>
    <t xml:space="preserve">通风执行器</t>
  </si>
  <si>
    <t xml:space="preserve">✅已购</t>
  </si>
  <si>
    <t xml:space="preserve">接 TB6612 的 AO1/AO2</t>
  </si>
  <si>
    <t xml:space="preserve">原型够用；真排烟再换 12V 大风量</t>
  </si>
  <si>
    <t xml:space="preserve">ST-Link V2</t>
  </si>
  <si>
    <t xml:space="preserve">调试工具</t>
  </si>
  <si>
    <t xml:space="preserve">SWD 烧录调试器</t>
  </si>
  <si>
    <t xml:space="preserve">SWD</t>
  </si>
  <si>
    <t xml:space="preserve">烧录/调试</t>
  </si>
  <si>
    <t xml:space="preserve">四线 GND/SWCLK/SWDIO/3.3V</t>
  </si>
  <si>
    <t xml:space="preserve">CubeIDE 断点调试</t>
  </si>
  <si>
    <t xml:space="preserve">各色 LED 灯珠+电阻</t>
  </si>
  <si>
    <t xml:space="preserve">红/黄/绿 220Ω、白/蓝 100Ω</t>
  </si>
  <si>
    <t xml:space="preserve">GPIO PWM</t>
  </si>
  <si>
    <t xml:space="preserve">灯调光/报警指示</t>
  </si>
  <si>
    <t xml:space="preserve">若干</t>
  </si>
  <si>
    <t xml:space="preserve">PWM 调光；绿灯=正常、红灯=报警</t>
  </si>
  <si>
    <t xml:space="preserve">替代 LED 灯条</t>
  </si>
  <si>
    <t xml:space="preserve">21VOC 模块</t>
  </si>
  <si>
    <t xml:space="preserve">TVOC / eCO₂ 估算 / UART 数字输出</t>
  </si>
  <si>
    <t xml:space="preserve">UART</t>
  </si>
  <si>
    <t xml:space="preserve">CO₂ 浓度</t>
  </si>
  <si>
    <t xml:space="preserve">UART4（PC10/PC11）；只接 RX 即可；参数以说明书为准（常见 9600 8N1）</t>
  </si>
  <si>
    <t xml:space="preserve">低价数字模块免分压；CO₂ 为 eCO₂ 估算值非直接测量</t>
  </si>
  <si>
    <t xml:space="preserve">MQ-7（CO）</t>
  </si>
  <si>
    <t xml:space="preserve">半导体式 / CO 10–1000ppm / AO+DO</t>
  </si>
  <si>
    <t xml:space="preserve">有毒气体</t>
  </si>
  <si>
    <t xml:space="preserve">AO 分压进 ADC；内置高低压循环加热</t>
  </si>
  <si>
    <t xml:space="preserve">测其他气体换 MQ-135/136/137/138</t>
  </si>
  <si>
    <t xml:space="preserve">14</t>
  </si>
  <si>
    <t xml:space="preserve">MAX3485 模块</t>
  </si>
  <si>
    <t xml:space="preserve">MAX3485（3.3V RS485 收发器 12Mbps）</t>
  </si>
  <si>
    <t xml:space="preserve">USART+GPIO</t>
  </si>
  <si>
    <t xml:space="preserve">多节点组网（RS485）</t>
  </si>
  <si>
    <t xml:space="preserve">A/B 并联总线；EN 接 GPIO 控方向；3.3V 供电</t>
  </si>
  <si>
    <t xml:space="preserve">F407 3.3V 逻辑专用版，速率最高</t>
  </si>
  <si>
    <t xml:space="preserve">15</t>
  </si>
  <si>
    <t xml:space="preserve">USB转485 适配器</t>
  </si>
  <si>
    <t xml:space="preserve">FT232RL 或 CH340+MAX485</t>
  </si>
  <si>
    <t xml:space="preserve">USB</t>
  </si>
  <si>
    <t xml:space="preserve">多节点组网（上位机侧）</t>
  </si>
  <si>
    <t xml:space="preserve">PC 识别为 COM 口；Qt 代码不变</t>
  </si>
  <si>
    <t xml:space="preserve">上位机接入 RS485 总线必需</t>
  </si>
  <si>
    <t xml:space="preserve">16</t>
  </si>
  <si>
    <t xml:space="preserve">RS485 总线线材</t>
  </si>
  <si>
    <t xml:space="preserve">通信线材</t>
  </si>
  <si>
    <t xml:space="preserve">杜邦线（已有）或 RVSP 双绞线（可选）</t>
  </si>
  <si>
    <t xml:space="preserve">A/B+GND</t>
  </si>
  <si>
    <t xml:space="preserve">多节点组网</t>
  </si>
  <si>
    <t xml:space="preserve">桌面短距离杜邦线即可；长距离演示加购双绞线</t>
  </si>
  <si>
    <t xml:space="preserve">复用已有杜邦线，双绞线按需</t>
  </si>
  <si>
    <t xml:space="preserve">待购合计（必买）</t>
  </si>
  <si>
    <t xml:space="preserve">❌待购</t>
  </si>
  <si>
    <t xml:space="preserve">需求覆盖对照</t>
  </si>
  <si>
    <t xml:space="preserve">版本 v1.3 · 更新 2026-10-02 · 对应硬件台账 v1.3 · 12 项需求 · CO₂ 改 21VO（UART）</t>
  </si>
  <si>
    <t xml:space="preserve">需求项</t>
  </si>
  <si>
    <t xml:space="preserve">覆盖模块</t>
  </si>
  <si>
    <t xml:space="preserve">状态</t>
  </si>
  <si>
    <t xml:space="preserve">备注</t>
  </si>
  <si>
    <t xml:space="preserve">温度</t>
  </si>
  <si>
    <t xml:space="preserve">DHT11</t>
  </si>
  <si>
    <t xml:space="preserve">❌不使用（21VOC已覆盖温湿度）</t>
  </si>
  <si>
    <t xml:space="preserve">湿度</t>
  </si>
  <si>
    <t xml:space="preserve">烟雾浓度</t>
  </si>
  <si>
    <t xml:space="preserve">MQ-2</t>
  </si>
  <si>
    <t xml:space="preserve">✅已覆盖</t>
  </si>
  <si>
    <t xml:space="preserve">预热约 5 分钟</t>
  </si>
  <si>
    <t xml:space="preserve">CO₂ 浓度</t>
  </si>
  <si>
    <t xml:space="preserve">21VOC 模块</t>
  </si>
  <si>
    <t xml:space="preserve">≈¥65 · I2C</t>
  </si>
  <si>
    <t xml:space="preserve">有毒气体</t>
  </si>
  <si>
    <t xml:space="preserve">MQ-7</t>
  </si>
  <si>
    <t xml:space="preserve">默认 CO；按气体种类换型号</t>
  </si>
  <si>
    <t xml:space="preserve">光线/明暗</t>
  </si>
  <si>
    <t xml:space="preserve">光敏 5516</t>
  </si>
  <si>
    <t xml:space="preserve">AO 分压进 ADC</t>
  </si>
  <si>
    <t xml:space="preserve">液晶显示</t>
  </si>
  <si>
    <t xml:space="preserve">2.4″TFT</t>
  </si>
  <si>
    <t xml:space="preserve">ILI9341/ST7789V</t>
  </si>
  <si>
    <t xml:space="preserve">阈值设置</t>
  </si>
  <si>
    <t xml:space="preserve">触摸屏</t>
  </si>
  <si>
    <t xml:space="preserve">触摸替代物理按键</t>
  </si>
  <si>
    <t xml:space="preserve">风扇通风</t>
  </si>
  <si>
    <t xml:space="preserve">TB6612+小马达</t>
  </si>
  <si>
    <t xml:space="preserve">PWM 调速</t>
  </si>
  <si>
    <t xml:space="preserve">灯调光</t>
  </si>
  <si>
    <t xml:space="preserve">LED 灯珠+PWM</t>
  </si>
  <si>
    <t xml:space="preserve">21VO（UART，待购）</t>
  </si>
  <si>
    <t xml:space="preserve">待购（UART4；CO₂ 为 eCO₂ 估算）</t>
  </si>
  <si>
    <t xml:space="preserve">上位机通信</t>
  </si>
  <si>
    <t xml:space="preserve">CH340</t>
  </si>
  <si>
    <t xml:space="preserve">115200 8N1，ASCII</t>
  </si>
  <si>
    <t xml:space="preserve">烧录调试</t>
  </si>
  <si>
    <t xml:space="preserve">ST-Link V2</t>
  </si>
  <si>
    <t xml:space="preserve">温度（备用）</t>
  </si>
  <si>
    <t xml:space="preserve">热敏电阻模块</t>
  </si>
  <si>
    <t xml:space="preserve">多节点组网（RS485）</t>
  </si>
  <si>
    <t xml:space="preserve">MAX3485×3 + USB转485</t>
  </si>
  <si>
    <t xml:space="preserve">选题要求 RS485 组网；协议已预留 node 字段；扩展计划</t>
  </si>
  <si>
    <t xml:space="preserve">汇总（公式自动统计）</t>
  </si>
  <si>
    <t xml:space="preserve">采购与预算 · 工业环境检测系统</t>
  </si>
  <si>
    <t xml:space="preserve">版本 v1.3 · 更新 2026-10-02 · 对应硬件台账 v1.3 · 预算随 CO₂ 方案变更</t>
  </si>
  <si>
    <t xml:space="preserve">一、必买清单（缺口）</t>
  </si>
  <si>
    <t xml:space="preserve">序号</t>
  </si>
  <si>
    <t xml:space="preserve">物料</t>
  </si>
  <si>
    <t xml:space="preserve">型号</t>
  </si>
  <si>
    <t xml:space="preserve">用途</t>
  </si>
  <si>
    <t xml:space="preserve">数量</t>
  </si>
  <si>
    <t xml:space="preserve">单价(元)</t>
  </si>
  <si>
    <t xml:space="preserve">小计(元)</t>
  </si>
  <si>
    <t xml:space="preserve">CO₂ 传感器</t>
  </si>
  <si>
    <t xml:space="preserve">21VO 模块（UART，CO₂/TVOC）</t>
  </si>
  <si>
    <t xml:space="preserve">检测 CO₂ 浓度</t>
  </si>
  <si>
    <t xml:space="preserve">有毒气体模块</t>
  </si>
  <si>
    <t xml:space="preserve">MQ-7（CO）</t>
  </si>
  <si>
    <t xml:space="preserve">检测 CO 浓度</t>
  </si>
  <si>
    <t xml:space="preserve">3</t>
  </si>
  <si>
    <t xml:space="preserve">MAX3485 模块</t>
  </si>
  <si>
    <t xml:space="preserve">MAX3485（3.3V RS485 收发器）</t>
  </si>
  <si>
    <t xml:space="preserve">多下位机 RS485 组网（下位机侧）</t>
  </si>
  <si>
    <t xml:space="preserve">4</t>
  </si>
  <si>
    <t xml:space="preserve">USB转485 适配器</t>
  </si>
  <si>
    <t xml:space="preserve">FT232RL 或 CH340+MAX485</t>
  </si>
  <si>
    <t xml:space="preserve">上位机侧 RS485 组网（PC 端）</t>
  </si>
  <si>
    <t xml:space="preserve">—</t>
  </si>
  <si>
    <t xml:space="preserve">必买合计</t>
  </si>
  <si>
    <t xml:space="preserve">二、可选扩展（将来需要再买）</t>
  </si>
  <si>
    <t xml:space="preserve">LAN8720 以太网模块</t>
  </si>
  <si>
    <t xml:space="preserve">PHY（配 F407 内置 MAC）</t>
  </si>
  <si>
    <t xml:space="preserve">有线以太网组网（可选）</t>
  </si>
  <si>
    <t xml:space="preserve">2</t>
  </si>
  <si>
    <t xml:space="preserve">RS485 双绞线（RVSP 备用）</t>
  </si>
  <si>
    <t xml:space="preserve">RVSP 双绞线</t>
  </si>
  <si>
    <t xml:space="preserve">长距离演示备用线材（可选）</t>
  </si>
  <si>
    <t xml:space="preserve">5</t>
  </si>
  <si>
    <t xml:space="preserve">SHT30 温湿度模块</t>
  </si>
  <si>
    <t xml:space="preserve">I2C 数字温湿度</t>
  </si>
  <si>
    <t xml:space="preserve">DHT11 升级（严格场合）</t>
  </si>
  <si>
    <t xml:space="preserve">轻触按键</t>
  </si>
  <si>
    <t xml:space="preserve">4 脚轻触开关</t>
  </si>
  <si>
    <t xml:space="preserve">备用交互</t>
  </si>
  <si>
    <t xml:space="preserve">可选合计（约）</t>
  </si>
  <si>
    <t xml:space="preserve">三、已取消采购项及理由（溯源记录）</t>
  </si>
  <si>
    <t xml:space="preserve">原计划用途</t>
  </si>
  <si>
    <t xml:space="preserve">取消理由</t>
  </si>
  <si>
    <t xml:space="preserve">F407VET6 核心板</t>
  </si>
  <si>
    <t xml:space="preserve">主控</t>
  </si>
  <si>
    <t xml:space="preserve">已有 F407ZGT6，更强</t>
  </si>
  <si>
    <t xml:space="preserve">SHT30</t>
  </si>
  <si>
    <t xml:space="preserve">温湿度</t>
  </si>
  <si>
    <t xml:space="preserve">用已有 DHT11（原型够用）</t>
  </si>
  <si>
    <t xml:space="preserve">BH1750</t>
  </si>
  <si>
    <t xml:space="preserve">光照</t>
  </si>
  <si>
    <t xml:space="preserve">用已有光敏 5516</t>
  </si>
  <si>
    <t xml:space="preserve">2.4″TFT</t>
  </si>
  <si>
    <t xml:space="preserve">显示</t>
  </si>
  <si>
    <t xml:space="preserve">已有红板（ILI9341/ST7789V+触摸）</t>
  </si>
  <si>
    <t xml:space="preserve">阈值设置</t>
  </si>
  <si>
    <t xml:space="preserve">触摸屏替代</t>
  </si>
  <si>
    <t xml:space="preserve">12V 风扇</t>
  </si>
  <si>
    <t xml:space="preserve">通风</t>
  </si>
  <si>
    <t xml:space="preserve">小马达+风扇替代；TB6612 驱动</t>
  </si>
  <si>
    <t xml:space="preserve">MOSFET×2</t>
  </si>
  <si>
    <t xml:space="preserve">风扇/灯驱动</t>
  </si>
  <si>
    <t xml:space="preserve">TB6612 替代</t>
  </si>
  <si>
    <t xml:space="preserve">LED 灯条</t>
  </si>
  <si>
    <t xml:space="preserve">灯调光</t>
  </si>
  <si>
    <t xml:space="preserve">LED 灯珠替代</t>
  </si>
  <si>
    <t xml:space="preserve">ST-Link</t>
  </si>
  <si>
    <t xml:space="preserve">烧录</t>
  </si>
  <si>
    <t xml:space="preserve">已有 V2</t>
  </si>
  <si>
    <t xml:space="preserve">12V 适配器+降压模块</t>
  </si>
  <si>
    <t xml:space="preserve">电源</t>
  </si>
  <si>
    <t xml:space="preserve">全系统 5V，手机充电头即可</t>
  </si>
  <si>
    <t xml:space="preserve">多节点通信</t>
  </si>
  <si>
    <t xml:space="preserve">原判单机阶段 CH340 足够；RS485 方案已确定，转必买清单（见一、必买清单）</t>
  </si>
  <si>
    <t xml:space="preserve">SCD41 CO₂传感器</t>
  </si>
  <si>
    <t xml:space="preserve">CO₂ 检测</t>
  </si>
  <si>
    <t xml:space="preserve">v1.3 取消：改用 21VO（UART，12.5 元；省 52.5 元；CO₂ 为 eCO₂ 估算）</t>
  </si>
  <si>
    <t xml:space="preserve">维护备注：v1.2（2026-09-30）：SGP40 已取消，改 SCD41（老师推荐，I2C 接口，温湿度CO₂三合一）；价格更新为 65 元；待购合计 113 元。 v1.3（2026-10-02）：SCD41 取消，改 21VO（UART，低价 12.5 元；CO₂ 为 eCO₂ 估算）；新增“引脚分配”子表；待购合计降至 60.5 元（省 52.5 元）。</t>
  </si>
  <si>
    <t xml:space="preserve">F407ZGT6 引脚分配表（屏幕直连 · 其余面包板飞线 · 统一共 GND）</t>
  </si>
  <si>
    <t xml:space="preserve">分组</t>
  </si>
  <si>
    <t xml:space="preserve">引脚</t>
  </si>
  <si>
    <t xml:space="preserve">功能</t>
  </si>
  <si>
    <t xml:space="preserve">外设/模式</t>
  </si>
  <si>
    <t xml:space="preserve">方向</t>
  </si>
  <si>
    <t xml:space="preserve">飞线连接到</t>
  </si>
  <si>
    <t xml:space="preserve">备注</t>
  </si>
  <si>
    <t xml:space="preserve">TFT显示（直连）</t>
  </si>
  <si>
    <t xml:space="preserve">PA5</t>
  </si>
  <si>
    <t xml:space="preserve">LCD_SCK</t>
  </si>
  <si>
    <t xml:space="preserve">SPI1_SCK</t>
  </si>
  <si>
    <t xml:space="preserve">输出</t>
  </si>
  <si>
    <t xml:space="preserve">屏 Pin7 SCK</t>
  </si>
  <si>
    <t xml:space="preserve">屏幕直连；已点亮验证</t>
  </si>
  <si>
    <t xml:space="preserve">PA7</t>
  </si>
  <si>
    <t xml:space="preserve">LCD_MOSI</t>
  </si>
  <si>
    <t xml:space="preserve">SPI1_MOSI</t>
  </si>
  <si>
    <t xml:space="preserve">屏 Pin6 SDI(MOSI)</t>
  </si>
  <si>
    <t xml:space="preserve"/>
  </si>
  <si>
    <t xml:space="preserve">PB0</t>
  </si>
  <si>
    <t xml:space="preserve">LCD_DC</t>
  </si>
  <si>
    <t xml:space="preserve">GPIO_Output</t>
  </si>
  <si>
    <t xml:space="preserve">屏 Pin5 DC</t>
  </si>
  <si>
    <t xml:space="preserve">高=数据/低=命令</t>
  </si>
  <si>
    <t xml:space="preserve">PB1</t>
  </si>
  <si>
    <t xml:space="preserve">LCD_CS</t>
  </si>
  <si>
    <t xml:space="preserve">屏 Pin3 CS</t>
  </si>
  <si>
    <t xml:space="preserve">低有效，初始高</t>
  </si>
  <si>
    <t xml:space="preserve">PB2</t>
  </si>
  <si>
    <t xml:space="preserve">LCD_RST</t>
  </si>
  <si>
    <t xml:space="preserve">GPIO_Output（兼BOOT1）</t>
  </si>
  <si>
    <t xml:space="preserve">屏 Pin4 RST</t>
  </si>
  <si>
    <t xml:space="preserve">低电平复位</t>
  </si>
  <si>
    <t xml:space="preserve">PB10</t>
  </si>
  <si>
    <t xml:space="preserve">LCD_BL</t>
  </si>
  <si>
    <t xml:space="preserve">屏 Pin8 LED</t>
  </si>
  <si>
    <t xml:space="preserve">高电平点亮</t>
  </si>
  <si>
    <t xml:space="preserve">PA6</t>
  </si>
  <si>
    <t xml:space="preserve">LCD_MISO</t>
  </si>
  <si>
    <t xml:space="preserve">SPI1_MISO</t>
  </si>
  <si>
    <t xml:space="preserve">输入</t>
  </si>
  <si>
    <t xml:space="preserve">屏 Pin9 SDO(MISO)</t>
  </si>
  <si>
    <t xml:space="preserve">已接线；LVGL 只写不读，实际未使用</t>
  </si>
  <si>
    <t xml:space="preserve">触摸（直连）</t>
  </si>
  <si>
    <t xml:space="preserve">PB13</t>
  </si>
  <si>
    <t xml:space="preserve">T_CLK</t>
  </si>
  <si>
    <t xml:space="preserve">SPI2_SCK</t>
  </si>
  <si>
    <t xml:space="preserve">屏 Pin10 T_CLK</t>
  </si>
  <si>
    <t xml:space="preserve">触摸独立 SPI2，不复用屏幕总线</t>
  </si>
  <si>
    <t xml:space="preserve">PB15</t>
  </si>
  <si>
    <t xml:space="preserve">T_DIN</t>
  </si>
  <si>
    <t xml:space="preserve">SPI2_MOSI</t>
  </si>
  <si>
    <t xml:space="preserve">屏 Pin12 T_DIN</t>
  </si>
  <si>
    <t xml:space="preserve">PB14</t>
  </si>
  <si>
    <t xml:space="preserve">T_DO</t>
  </si>
  <si>
    <t xml:space="preserve">SPI2_MISO</t>
  </si>
  <si>
    <t xml:space="preserve">屏 Pin13 T_DO</t>
  </si>
  <si>
    <t xml:space="preserve">PB12</t>
  </si>
  <si>
    <t xml:space="preserve">T_CS</t>
  </si>
  <si>
    <t xml:space="preserve">屏 Pin11 T_CS</t>
  </si>
  <si>
    <t xml:space="preserve">PB11</t>
  </si>
  <si>
    <t xml:space="preserve">T_IRQ</t>
  </si>
  <si>
    <t xml:space="preserve">GPIO_Input 下拉</t>
  </si>
  <si>
    <t xml:space="preserve">屏 Pin14 T_IRQ</t>
  </si>
  <si>
    <t xml:space="preserve">按下输出低电平</t>
  </si>
  <si>
    <t xml:space="preserve">模拟采集（面包板）</t>
  </si>
  <si>
    <t xml:space="preserve">PA0</t>
  </si>
  <si>
    <t xml:space="preserve">MQ2_AO</t>
  </si>
  <si>
    <t xml:space="preserve">ADC1_IN0</t>
  </si>
  <si>
    <t xml:space="preserve">模拟输入</t>
  </si>
  <si>
    <t xml:space="preserve">MQ-2 AO</t>
  </si>
  <si>
    <t xml:space="preserve">AO 须分压 0–3.3V</t>
  </si>
  <si>
    <t xml:space="preserve">PA1</t>
  </si>
  <si>
    <t xml:space="preserve">MQ7_AO</t>
  </si>
  <si>
    <t xml:space="preserve">ADC1_IN1</t>
  </si>
  <si>
    <t xml:space="preserve">MQ-7 AO</t>
  </si>
  <si>
    <t xml:space="preserve">AO 须分压</t>
  </si>
  <si>
    <t xml:space="preserve">PC0</t>
  </si>
  <si>
    <t xml:space="preserve">LDR_AO</t>
  </si>
  <si>
    <t xml:space="preserve">ADC123_IN10</t>
  </si>
  <si>
    <t xml:space="preserve">光敏 AO</t>
  </si>
  <si>
    <t xml:space="preserve">PC1</t>
  </si>
  <si>
    <t xml:space="preserve">NTC_AO</t>
  </si>
  <si>
    <t xml:space="preserve">ADC123_IN11</t>
  </si>
  <si>
    <t xml:space="preserve">热敏 AO（备用）</t>
  </si>
  <si>
    <t xml:space="preserve">备用通道</t>
  </si>
  <si>
    <t xml:space="preserve">❌已弃用（21VOC自带温湿度）</t>
  </si>
  <si>
    <t xml:space="preserve">PB8</t>
  </si>
  <si>
    <t xml:space="preserve">DHT11_DATA</t>
  </si>
  <si>
    <t xml:space="preserve">GPIO 双向</t>
  </si>
  <si>
    <t xml:space="preserve">双向</t>
  </si>
  <si>
    <t xml:space="preserve">DHT11 DATA</t>
  </si>
  <si>
    <t xml:space="preserve">DHT11不接线；PB8释放备用</t>
  </si>
  <si>
    <t xml:space="preserve">CO₂/TVOC（面包板）</t>
  </si>
  <si>
    <t xml:space="preserve">PC11</t>
  </si>
  <si>
    <t xml:space="preserve">VOC_RX</t>
  </si>
  <si>
    <t xml:space="preserve">UART4_RX</t>
  </si>
  <si>
    <t xml:space="preserve">21VO TX</t>
  </si>
  <si>
    <t xml:space="preserve">✅已购；VCC=3.3V无需电平转换；9600 8N1主动上报</t>
  </si>
  <si>
    <t xml:space="preserve">PC10</t>
  </si>
  <si>
    <t xml:space="preserve">VOC_TX</t>
  </si>
  <si>
    <t xml:space="preserve">UART4_TX</t>
  </si>
  <si>
    <t xml:space="preserve">21VO RX</t>
  </si>
  <si>
    <t xml:space="preserve">可不接（21VOC主动上报，无需MCU发命令）</t>
  </si>
  <si>
    <t xml:space="preserve">上位机通信</t>
  </si>
  <si>
    <t xml:space="preserve">PA2</t>
  </si>
  <si>
    <t xml:space="preserve">UART2_TX</t>
  </si>
  <si>
    <t xml:space="preserve">USART2_TX</t>
  </si>
  <si>
    <t xml:space="preserve">CH340 RXD</t>
  </si>
  <si>
    <t xml:space="preserve">115200 8N1</t>
  </si>
  <si>
    <t xml:space="preserve">PA3</t>
  </si>
  <si>
    <t xml:space="preserve">UART2_RX</t>
  </si>
  <si>
    <t xml:space="preserve">USART2_RX</t>
  </si>
  <si>
    <t xml:space="preserve">CH340 TXD</t>
  </si>
  <si>
    <t xml:space="preserve">连 PC（Qt 上位机）</t>
  </si>
  <si>
    <t xml:space="preserve">RS485（待购）</t>
  </si>
  <si>
    <t xml:space="preserve">PC6</t>
  </si>
  <si>
    <t xml:space="preserve">RS485_TX</t>
  </si>
  <si>
    <t xml:space="preserve">USART6_TX</t>
  </si>
  <si>
    <t xml:space="preserve">MAX3485 DI</t>
  </si>
  <si>
    <t xml:space="preserve">✅已购MAX3485；接DI</t>
  </si>
  <si>
    <t xml:space="preserve">PC7</t>
  </si>
  <si>
    <t xml:space="preserve">RS485_RX</t>
  </si>
  <si>
    <t xml:space="preserve">USART6_RX</t>
  </si>
  <si>
    <t xml:space="preserve">MAX3485 RO</t>
  </si>
  <si>
    <t xml:space="preserve">✅已购MAX3485；接RO</t>
  </si>
  <si>
    <t xml:space="preserve">PC8</t>
  </si>
  <si>
    <t xml:space="preserve">RS485_DE</t>
  </si>
  <si>
    <t xml:space="preserve">DE 与 /RE 短接</t>
  </si>
  <si>
    <t xml:space="preserve">✅已购MAX3485；DE+/RE-短接</t>
  </si>
  <si>
    <t xml:space="preserve">风扇驱动（面包板）</t>
  </si>
  <si>
    <t xml:space="preserve">PA8</t>
  </si>
  <si>
    <t xml:space="preserve">FAN_PWM</t>
  </si>
  <si>
    <t xml:space="preserve">TIM1_CH1</t>
  </si>
  <si>
    <t xml:space="preserve">PWM输出</t>
  </si>
  <si>
    <t xml:space="preserve">TB6612 PWMA</t>
  </si>
  <si>
    <t xml:space="preserve">调速</t>
  </si>
  <si>
    <t xml:space="preserve">PD0</t>
  </si>
  <si>
    <t xml:space="preserve">TB_AIN1</t>
  </si>
  <si>
    <t xml:space="preserve">TB6612 AIN1</t>
  </si>
  <si>
    <t xml:space="preserve">方向控制</t>
  </si>
  <si>
    <t xml:space="preserve">PD1</t>
  </si>
  <si>
    <t xml:space="preserve">TB_AIN2</t>
  </si>
  <si>
    <t xml:space="preserve">TB6612 AIN2</t>
  </si>
  <si>
    <t xml:space="preserve">PD2</t>
  </si>
  <si>
    <t xml:space="preserve">TB_STBY</t>
  </si>
  <si>
    <t xml:space="preserve">TB6612 STBY</t>
  </si>
  <si>
    <t xml:space="preserve">高电平使能</t>
  </si>
  <si>
    <t xml:space="preserve">LED指示（面包板）</t>
  </si>
  <si>
    <t xml:space="preserve">PB3</t>
  </si>
  <si>
    <t xml:space="preserve">LED_RED</t>
  </si>
  <si>
    <t xml:space="preserve">红灯</t>
  </si>
  <si>
    <t xml:space="preserve">报警</t>
  </si>
  <si>
    <t xml:space="preserve">PB4</t>
  </si>
  <si>
    <t xml:space="preserve">LED_YEL</t>
  </si>
  <si>
    <t xml:space="preserve">黄灯</t>
  </si>
  <si>
    <t xml:space="preserve">警告</t>
  </si>
  <si>
    <t xml:space="preserve">PB5</t>
  </si>
  <si>
    <t xml:space="preserve">LED_GRN</t>
  </si>
  <si>
    <t xml:space="preserve">绿灯</t>
  </si>
  <si>
    <t xml:space="preserve">正常</t>
  </si>
  <si>
    <t xml:space="preserve">PB6</t>
  </si>
  <si>
    <t xml:space="preserve">LED_WHT</t>
  </si>
  <si>
    <t xml:space="preserve">TIM4_CH1</t>
  </si>
  <si>
    <t xml:space="preserve">白灯</t>
  </si>
  <si>
    <t xml:space="preserve">照明调光</t>
  </si>
  <si>
    <t xml:space="preserve">PB7</t>
  </si>
  <si>
    <t xml:space="preserve">LED_BLU</t>
  </si>
  <si>
    <t xml:space="preserve">蓝灯</t>
  </si>
  <si>
    <t xml:space="preserve">备用</t>
  </si>
  <si>
    <t xml:space="preserve">SWD调试</t>
  </si>
  <si>
    <t xml:space="preserve">PA13</t>
  </si>
  <si>
    <t xml:space="preserve">SWDIO</t>
  </si>
  <si>
    <t xml:space="preserve">SWD</t>
  </si>
  <si>
    <t xml:space="preserve">复用</t>
  </si>
  <si>
    <t xml:space="preserve">ST-Link SWDIO</t>
  </si>
  <si>
    <t xml:space="preserve">烧录（板载，不占排针）</t>
  </si>
  <si>
    <t xml:space="preserve">PA14</t>
  </si>
  <si>
    <t xml:space="preserve">SWCLK</t>
  </si>
  <si>
    <t xml:space="preserve">ST-Link SWCLK</t>
  </si>
  <si>
    <t xml:space="preserve">烧录</t>
  </si>
  <si>
    <t xml:space="preserve">预留</t>
  </si>
  <si>
    <t xml:space="preserve">PA9/PA10</t>
  </si>
  <si>
    <t xml:space="preserve">USART1</t>
  </si>
  <si>
    <t xml:space="preserve">板载 USART1 转 TTL</t>
  </si>
  <si>
    <t xml:space="preserve">—</t>
  </si>
  <si>
    <t xml:space="preserve">排针 H3</t>
  </si>
  <si>
    <t xml:space="preserve">扩展用</t>
  </si>
  <si>
    <t xml:space="preserve">PB9</t>
  </si>
  <si>
    <t xml:space="preserve">GPIO</t>
  </si>
  <si>
    <t xml:space="preserve">【供电与接线说明】</t>
  </si>
  <si>
    <t xml:space="preserve">1. 屏幕对外为 14 针排针：Pin1 VCC(3.3V)、Pin2 GND、Pin3 CS、Pin4 RST、Pin5 DC、Pin6 MOSI、Pin7 SCK、Pin8 LED、Pin9 SDO(MISO)→PA6（已接线，LVGL 只写不读未使用）、Pin10 T_CLK、Pin11 T_CS、Pin12 T_DIN、Pin13 T_DO、Pin14 T_IRQ。</t>
  </si>
  <si>
    <t xml:space="preserve">2. 屏幕走 SPI1；触摸 XPT2046 走独立 SPI2——两条总线互不共用。本项目不使用板载 SD 卡座，其 4 个焊盘不接线。</t>
  </si>
  <si>
    <t xml:space="preserve">3. 屏幕/触摸直接与系统板连接、3.3V 供电，禁止 5V；其余模块装面包板由供电模块独立供电，全系统统一共 GND，只飞数据引脚。</t>
  </si>
  <si>
    <t xml:space="preserve">4. 模拟传感器 AO 必须分压到 0–3.3V 再进 ADC，禁止直接输入 5V。</t>
  </si>
  <si>
    <t xml:space="preserve">5. PB3/PB4/PB5 为 JTAG 复用脚：CubeMX SYS Debug 设为 Serial Wire 后释放；PB2 兼 BOOT1，作 RST 已验证可用。</t>
  </si>
  <si>
    <t xml:space="preserve">6. 21VOC模块VCC接3.3V，TX输出即为3.3V电平，可直连PC11(RX)，无需分压/电平转换；9600 8N1主动上报12字节帧。</t>
  </si>
  <si>
    <t xml:space="preserve">7. 板载已占用：PC13（用户LED）、PA15/PE6（用户按键）、PA13/PA14（SWD）、PC14/PC15（晶振），不可再分配；21VO 的 CO₂ 为 eCO₂ 估算值（非直接测量）。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</si>
</sst>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"/>
    <numFmt numFmtId="165" formatCode="#,##0.00"/>
    <numFmt numFmtId="166" formatCode="0"/>
    <numFmt numFmtId="167" formatCode="#,##0.00"/>
    <numFmt numFmtId="168" formatCode="0&quot;套&quot;"/>
    <numFmt numFmtId="169" formatCode="@"/>
  </numFmts>
  <fonts count="1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4"/>
      <color rgb="FFFFFFFF"/>
      <name val="微软雅黑"/>
      <family val="2"/>
    </font>
    <font>
      <sz val="10"/>
      <color rgb="FF5A6B7D"/>
      <name val="微软雅黑"/>
      <family val="2"/>
    </font>
    <font>
      <b val="true"/>
      <sz val="11"/>
      <color rgb="FFFFFFFF"/>
      <name val="微软雅黑"/>
      <family val="2"/>
    </font>
    <font>
      <sz val="10"/>
      <color rgb="FF000000"/>
      <name val="微软雅黑"/>
      <family val="2"/>
    </font>
    <font>
      <b val="true"/>
      <sz val="10"/>
      <color rgb="FF000000"/>
      <name val="微软雅黑"/>
      <family val="2"/>
    </font>
    <font>
      <b val="true"/>
      <sz val="11"/>
      <color rgb="FF17365D"/>
      <name val="微软雅黑"/>
      <family val="2"/>
    </font>
    <font>
      <sz val="11"/>
      <color rgb="FF000000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 val="true"/>
      <sz val="8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</fonts>
  <fills count="1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7365D"/>
        <bgColor/>
      </patternFill>
    </fill>
    <fill>
      <patternFill patternType="solid">
        <fgColor rgb="FF5B9BD5"/>
        <bgColor/>
      </patternFill>
    </fill>
    <fill>
      <patternFill patternType="solid">
        <fgColor rgb="FFE6F7EE"/>
        <bgColor/>
      </patternFill>
    </fill>
    <fill>
      <patternFill patternType="solid">
        <fgColor rgb="FFFFF7E6"/>
        <bgColor/>
      </patternFill>
    </fill>
    <fill>
      <patternFill patternType="solid">
        <fgColor rgb="FFEFF3F8"/>
        <bgColor/>
      </patternFill>
    </fill>
    <fill>
      <patternFill patternType="solid">
        <fgColor rgb="FF17365D"/>
        <bgColor/>
      </patternFill>
    </fill>
    <fill>
      <patternFill patternType="solid">
        <fgColor rgb="FF5B9BD5"/>
        <bgColor/>
      </patternFill>
    </fill>
    <fill>
      <patternFill patternType="solid">
        <fgColor rgb="FFE6F7EE"/>
        <bgColor/>
      </patternFill>
    </fill>
    <fill>
      <patternFill patternType="solid">
        <fgColor rgb="FFEFF3F8"/>
        <bgColor/>
      </patternFill>
    </fill>
    <fill>
      <patternFill patternType="solid">
        <fgColor rgb="FF17365D"/>
        <bgColor/>
      </patternFill>
    </fill>
    <fill>
      <patternFill patternType="solid">
        <fgColor rgb="FFD6E4F0"/>
        <bgColor/>
      </patternFill>
    </fill>
    <fill>
      <patternFill patternType="solid">
        <fgColor rgb="FF5B9BD5"/>
        <bgColor/>
      </patternFill>
    </fill>
    <fill>
      <patternFill patternType="solid">
        <fgColor rgb="FFEFF3F8"/>
        <bgColor/>
      </patternFill>
    </fill>
    <fill>
      <patternFill patternType="solid">
        <fgColor rgb="FF1F4E79"/>
        <bgColor/>
      </patternFill>
    </fill>
    <fill>
      <patternFill patternType="solid">
        <fgColor rgb="FFD9E2F3"/>
        <bgColor/>
      </patternFill>
    </fill>
  </fills>
  <borders count="9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/>
      <right/>
      <top style="thin">
        <color rgb="FFB8C7D9"/>
      </top>
      <bottom/>
      <diagonal/>
    </border>
    <border>
      <left/>
      <right/>
      <top/>
      <bottom style="thin">
        <color rgb="FFB8C7D9"/>
      </bottom>
      <diagonal/>
    </border>
    <border>
      <left/>
      <right/>
      <top style="thin">
        <color rgb="FFB8C7D9"/>
      </top>
      <bottom/>
      <diagonal/>
    </border>
    <border>
      <left/>
      <right/>
      <top/>
      <bottom style="thin">
        <color rgb="FFB8C7D9"/>
      </bottom>
      <diagonal/>
    </border>
    <border>
      <left/>
      <right/>
      <top style="thin">
        <color rgb="FFB8C7D9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true" applyFont="true" applyNumberFormat="false" applyProtection="false" borderId="1" fillId="3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true" applyFont="true" applyNumberFormat="false" applyProtection="false" borderId="0" fillId="4" fontId="5" numFmtId="0" xfId="0">
      <alignment horizontal="center" vertical="center" wrapText="true"/>
    </xf>
    <xf applyAlignment="true" applyBorder="false" applyFill="false" applyFont="true" applyNumberFormat="true" applyProtection="false" borderId="0" fillId="0" fontId="5" numFmtId="164" xfId="0">
      <alignment horizontal="right" vertical="center"/>
    </xf>
    <xf applyAlignment="true" applyBorder="false" applyFill="false" applyFont="true" applyNumberFormat="true" applyProtection="false" borderId="0" fillId="0" fontId="5" numFmtId="165" xfId="0">
      <alignment horizontal="right" vertical="center"/>
    </xf>
    <xf applyAlignment="true" applyBorder="false" applyFill="true" applyFont="true" applyNumberFormat="false" applyProtection="false" borderId="0" fillId="5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true" applyFont="true" applyNumberFormat="false" applyProtection="false" borderId="0" fillId="4" fontId="5" numFmtId="0" xfId="0">
      <alignment horizontal="center" vertical="center" wrapText="true"/>
    </xf>
    <xf applyAlignment="true" applyBorder="false" applyFill="true" applyFont="true" applyNumberFormat="false" applyProtection="false" borderId="0" fillId="4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true" applyProtection="false" borderId="0" fillId="0" fontId="5" numFmtId="164" xfId="0">
      <alignment horizontal="right" vertical="center"/>
    </xf>
    <xf applyAlignment="true" applyBorder="false" applyFill="true" applyFont="true" applyNumberFormat="false" applyProtection="false" borderId="2" fillId="6" fontId="6" numFmtId="0" xfId="0">
      <alignment horizontal="center" vertical="center" wrapText="true"/>
    </xf>
    <xf applyAlignment="true" applyBorder="false" applyFill="true" applyFont="true" applyNumberFormat="false" applyProtection="false" borderId="2" fillId="6" fontId="6" numFmtId="0" xfId="0">
      <alignment horizontal="left" vertical="center" wrapText="true"/>
    </xf>
    <xf applyAlignment="true" applyBorder="false" applyFill="true" applyFont="true" applyNumberFormat="true" applyProtection="false" borderId="2" fillId="6" fontId="6" numFmtId="165" xfId="0">
      <alignment horizontal="right" vertical="center"/>
    </xf>
    <xf applyAlignment="true" applyBorder="false" applyFill="true" applyFont="true" applyNumberFormat="false" applyProtection="false" borderId="0" fillId="7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true" applyFont="true" applyNumberFormat="false" applyProtection="false" borderId="3" fillId="8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true" applyFont="true" applyNumberFormat="false" applyProtection="false" borderId="0" fillId="9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true" applyFont="true" applyNumberFormat="false" applyProtection="false" borderId="0" fillId="9" fontId="5" numFmtId="0" xfId="0">
      <alignment horizontal="center" vertical="center" wrapText="true"/>
    </xf>
    <xf applyAlignment="true" applyBorder="false" applyFill="true" applyFont="true" applyNumberFormat="false" applyProtection="false" borderId="0" fillId="9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true" applyFont="true" applyNumberFormat="false" applyProtection="false" borderId="4" fillId="10" fontId="6" numFmtId="0" xfId="0">
      <alignment horizontal="center" vertical="center" wrapText="true"/>
    </xf>
    <xf applyAlignment="true" applyBorder="false" applyFill="true" applyFont="true" applyNumberFormat="false" applyProtection="false" borderId="4" fillId="10" fontId="6" numFmtId="0" xfId="0">
      <alignment horizontal="left" vertical="center" wrapText="true"/>
    </xf>
    <xf applyAlignment="true" applyBorder="false" applyFill="true" applyFont="true" applyNumberFormat="false" applyProtection="false" borderId="0" fillId="11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true" applyFont="true" applyNumberFormat="false" applyProtection="false" borderId="0" fillId="12" fontId="7" numFmtId="0" xfId="0">
      <alignment horizontal="left" vertical="center"/>
    </xf>
    <xf applyAlignment="true" applyBorder="false" applyFill="true" applyFont="true" applyNumberFormat="false" applyProtection="false" borderId="5" fillId="13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true" applyProtection="false" borderId="0" fillId="0" fontId="5" numFmtId="166" xfId="0">
      <alignment horizontal="right" vertical="center"/>
    </xf>
    <xf applyAlignment="true" applyBorder="false" applyFill="false" applyFont="true" applyNumberFormat="true" applyProtection="false" borderId="0" fillId="0" fontId="5" numFmtId="167" xfId="0">
      <alignment horizontal="right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true" applyProtection="false" borderId="0" fillId="0" fontId="5" numFmtId="166" xfId="0">
      <alignment horizontal="right" vertical="center"/>
    </xf>
    <xf applyAlignment="true" applyBorder="false" applyFill="true" applyFont="true" applyNumberFormat="false" applyProtection="false" borderId="6" fillId="14" fontId="6" numFmtId="0" xfId="0">
      <alignment horizontal="center" vertical="center" wrapText="true"/>
    </xf>
    <xf applyAlignment="true" applyBorder="false" applyFill="true" applyFont="true" applyNumberFormat="false" applyProtection="false" borderId="6" fillId="14" fontId="6" numFmtId="0" xfId="0">
      <alignment horizontal="left" vertical="center" wrapText="true"/>
    </xf>
    <xf applyAlignment="true" applyBorder="false" applyFill="true" applyFont="true" applyNumberFormat="true" applyProtection="false" borderId="6" fillId="14" fontId="6" numFmtId="167" xfId="0">
      <alignment horizontal="right" vertical="center"/>
    </xf>
    <xf applyAlignment="true" applyBorder="false" applyFill="false" applyFont="true" applyNumberFormat="true" applyProtection="false" borderId="0" fillId="0" fontId="5" numFmtId="168" xfId="0">
      <alignment horizontal="right" vertical="center"/>
    </xf>
    <xf applyAlignment="true" applyBorder="false" applyFill="true" applyFont="true" applyNumberFormat="true" applyProtection="false" borderId="6" fillId="14" fontId="6" numFmtId="166" xfId="0">
      <alignment horizontal="right" vertical="center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7" fillId="0" fontId="8" numFmtId="0" xfId="0">
      <alignment horizontal="center" vertical="center"/>
    </xf>
    <xf applyAlignment="true" applyBorder="false" applyFill="false" applyFont="true" applyNumberFormat="false" applyProtection="false" borderId="7" fillId="0" fontId="8" numFmtId="0" xfId="0">
      <alignment horizontal="left" vertical="center" wrapText="true"/>
    </xf>
    <xf applyAlignment="true" applyBorder="false" applyFill="true" applyFont="true" applyNumberFormat="true" applyProtection="false" borderId="0" fillId="15" fontId="9" numFmtId="169" xfId="0">
      <alignment horizontal="center" vertical="center"/>
    </xf>
    <xf applyAlignment="true" applyBorder="false" applyFill="true" applyFont="true" applyNumberFormat="true" applyProtection="false" borderId="8" fillId="16" fontId="10" numFmtId="169" xfId="0">
      <alignment horizontal="center" vertical="center"/>
    </xf>
    <xf applyAlignment="true" applyBorder="false" applyFill="false" applyFont="true" applyNumberFormat="true" applyProtection="false" borderId="8" fillId="0" fontId="11" numFmtId="169" xfId="0">
      <alignment horizontal="center" vertical="center"/>
    </xf>
    <xf applyAlignment="true" applyBorder="false" applyFill="false" applyFont="true" applyNumberFormat="true" applyProtection="false" borderId="8" fillId="0" fontId="11" numFmtId="169" xfId="0">
      <alignment horizontal="left" vertical="center"/>
    </xf>
    <xf applyAlignment="true" applyBorder="false" applyFill="true" applyFont="true" applyNumberFormat="true" applyProtection="false" borderId="8" fillId="16" fontId="12" numFmtId="169" xfId="0">
      <alignment horizontal="center" vertical="center"/>
    </xf>
    <xf applyAlignment="true" applyBorder="false" applyFill="true" applyFont="true" applyNumberFormat="true" applyProtection="false" borderId="8" fillId="16" fontId="12" numFmtId="169" xfId="0">
      <alignment horizontal="left" vertical="center"/>
    </xf>
    <xf applyAlignment="true" applyBorder="false" applyFill="false" applyFont="true" applyNumberFormat="true" applyProtection="false" borderId="8" fillId="0" fontId="11" numFmtId="169" xfId="0">
      <alignment horizontal="center" vertical="center" wrapText="true"/>
    </xf>
    <xf applyAlignment="true" applyBorder="false" applyFill="false" applyFont="true" applyNumberFormat="true" applyProtection="false" borderId="8" fillId="0" fontId="11" numFmtId="169" xfId="0">
      <alignment horizontal="left" vertical="center" wrapText="true"/>
    </xf>
    <xf applyAlignment="true" applyBorder="false" applyFill="true" applyFont="true" applyNumberFormat="true" applyProtection="false" borderId="8" fillId="16" fontId="13" numFmtId="169" xfId="0">
      <alignment horizontal="left" vertical="center" wrapText="true"/>
    </xf>
    <xf applyAlignment="true" applyBorder="false" applyFill="false" applyFont="true" applyNumberFormat="true" applyProtection="false" borderId="0" fillId="0" fontId="11" numFmtId="169" xfId="0">
      <alignment horizontal="left" vertical="center" wrapText="true"/>
    </xf>
    <xf applyAlignment="true" applyBorder="false" applyFill="true" applyFont="true" applyNumberFormat="true" applyProtection="false" borderId="0" fillId="16" fontId="12" numFmtId="169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95250</xdr:rowOff>
    </xdr:to>
    <xdr:pic>
      <xdr:nvPicPr>
        <xdr:cNvPr id="2" name="Picture 2" descr="LnLSJ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95250</xdr:rowOff>
    </xdr:to>
    <xdr:pic>
      <xdr:nvPicPr>
        <xdr:cNvPr id="2" name="Picture 2" descr="untTn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95250</xdr:rowOff>
    </xdr:to>
    <xdr:pic>
      <xdr:nvPicPr>
        <xdr:cNvPr id="2" name="Picture 2" descr="ImwDM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295275</xdr:colOff>
      <xdr:row>1</xdr:row>
      <xdr:rowOff>180975</xdr:rowOff>
    </xdr:to>
    <xdr:pic>
      <xdr:nvPicPr>
        <xdr:cNvPr id="2" name="Picture 2" descr="eWJsG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16"/>
    <col collapsed="false" customWidth="true" hidden="false" max="5" min="5" style="0" width="14"/>
    <col collapsed="false" customWidth="true" hidden="false" max="7" min="7" style="0" width="13"/>
    <col collapsed="false" customWidth="true" hidden="false" max="9" min="9" style="0" width="16"/>
    <col collapsed="false" customWidth="true" hidden="false" max="11" min="11" style="0" width="46"/>
    <col collapsed="false" customWidth="true" hidden="false" max="1" min="1" style="0" width="50"/>
    <col collapsed="false" customWidth="true" hidden="false" max="4" min="4" style="0" width="50"/>
    <col collapsed="false" customWidth="true" hidden="false" max="6" min="6" style="0" width="29"/>
    <col collapsed="false" customWidth="true" hidden="false" max="8" min="8" style="0" width="8"/>
    <col collapsed="false" customWidth="true" hidden="false" max="10" min="10" style="0" width="16"/>
    <col collapsed="false" customWidth="true" hidden="false" max="12" min="12" style="0" width="39"/>
    <col collapsed="false" customWidth="true" hidden="false" max="2" min="2" style="0" width="28"/>
  </cols>
  <sheetData>
    <row customHeight="true" ht="26" r="1">
      <c r="A1" s="1" t="s">
        <v>1</v>
      </c>
    </row>
    <row customHeight="true" ht="18" r="2">
      <c r="A2" s="2" t="s">
        <v>2</v>
      </c>
    </row>
    <row customHeight="true" ht="22"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</row>
    <row r="4">
      <c r="A4" s="4">
        <v>1</v>
      </c>
      <c r="B4" s="5" t="s">
        <v>15</v>
      </c>
      <c r="C4" s="5" t="s">
        <v>16</v>
      </c>
      <c r="D4" s="5" t="s">
        <v>17</v>
      </c>
      <c r="E4" s="4" t="s">
        <v>18</v>
      </c>
      <c r="F4" s="5" t="s">
        <v>19</v>
      </c>
      <c r="G4" s="6" t="s">
        <v>20</v>
      </c>
      <c r="H4" s="7">
        <v>1</v>
      </c>
      <c r="I4" s="8"/>
      <c r="J4" s="8"/>
      <c r="K4" s="5" t="s">
        <v>21</v>
      </c>
      <c r="L4" s="5" t="s">
        <v>22</v>
      </c>
    </row>
    <row r="5">
      <c r="A5" s="4">
        <v>2</v>
      </c>
      <c r="B5" s="5" t="s">
        <v>23</v>
      </c>
      <c r="C5" s="5" t="s">
        <v>24</v>
      </c>
      <c r="D5" s="5" t="s">
        <v>25</v>
      </c>
      <c r="E5" s="4" t="s">
        <v>26</v>
      </c>
      <c r="F5" s="5" t="s">
        <v>27</v>
      </c>
      <c r="G5" s="6" t="s">
        <v>28</v>
      </c>
      <c r="H5" s="7">
        <v>1</v>
      </c>
      <c r="I5" s="8"/>
      <c r="J5" s="8"/>
      <c r="K5" s="5" t="s">
        <v>29</v>
      </c>
      <c r="L5" s="5" t="s">
        <v>30</v>
      </c>
    </row>
    <row r="6">
      <c r="A6" s="4">
        <v>3</v>
      </c>
      <c r="B6" s="5" t="s">
        <v>31</v>
      </c>
      <c r="C6" s="5" t="s">
        <v>32</v>
      </c>
      <c r="D6" s="5" t="s">
        <v>33</v>
      </c>
      <c r="E6" s="4" t="s">
        <v>34</v>
      </c>
      <c r="F6" s="5" t="s">
        <v>35</v>
      </c>
      <c r="G6" s="6" t="s">
        <v>20</v>
      </c>
      <c r="H6" s="7">
        <v>1</v>
      </c>
      <c r="I6" s="8"/>
      <c r="J6" s="8"/>
      <c r="K6" s="5" t="s">
        <v>36</v>
      </c>
      <c r="L6" s="5" t="s">
        <v>37</v>
      </c>
    </row>
    <row r="7">
      <c r="A7" s="4">
        <v>4</v>
      </c>
      <c r="B7" s="5" t="s">
        <v>38</v>
      </c>
      <c r="C7" s="5" t="s">
        <v>39</v>
      </c>
      <c r="D7" s="5" t="s">
        <v>40</v>
      </c>
      <c r="E7" s="4" t="s">
        <v>41</v>
      </c>
      <c r="F7" s="5" t="s">
        <v>42</v>
      </c>
      <c r="G7" s="6" t="s">
        <v>20</v>
      </c>
      <c r="H7" s="7">
        <v>1</v>
      </c>
      <c r="I7" s="8"/>
      <c r="J7" s="8"/>
      <c r="K7" s="5" t="s">
        <v>43</v>
      </c>
      <c r="L7" s="5" t="s">
        <v>44</v>
      </c>
    </row>
    <row r="8">
      <c r="A8" s="4">
        <v>5</v>
      </c>
      <c r="B8" s="5" t="s">
        <v>45</v>
      </c>
      <c r="C8" s="5" t="s">
        <v>24</v>
      </c>
      <c r="D8" s="5" t="s">
        <v>46</v>
      </c>
      <c r="E8" s="4" t="s">
        <v>41</v>
      </c>
      <c r="F8" s="5" t="s">
        <v>47</v>
      </c>
      <c r="G8" s="9" t="s">
        <v>48</v>
      </c>
      <c r="H8" s="7">
        <v>1</v>
      </c>
      <c r="I8" s="8"/>
      <c r="J8" s="8"/>
      <c r="K8" s="5" t="s">
        <v>49</v>
      </c>
      <c r="L8" s="5" t="s">
        <v>50</v>
      </c>
    </row>
    <row r="9">
      <c r="A9" s="4">
        <v>6</v>
      </c>
      <c r="B9" s="5" t="s">
        <v>51</v>
      </c>
      <c r="C9" s="5" t="s">
        <v>52</v>
      </c>
      <c r="D9" s="5" t="s">
        <v>53</v>
      </c>
      <c r="E9" s="4" t="s">
        <v>41</v>
      </c>
      <c r="F9" s="5" t="s">
        <v>54</v>
      </c>
      <c r="G9" s="6" t="s">
        <v>20</v>
      </c>
      <c r="H9" s="7">
        <v>1</v>
      </c>
      <c r="I9" s="8"/>
      <c r="J9" s="8"/>
      <c r="K9" s="5" t="s">
        <v>55</v>
      </c>
      <c r="L9" s="5" t="s">
        <v>56</v>
      </c>
    </row>
    <row r="10">
      <c r="A10" s="4">
        <v>7</v>
      </c>
      <c r="B10" s="5" t="s">
        <v>57</v>
      </c>
      <c r="C10" s="5" t="s">
        <v>58</v>
      </c>
      <c r="D10" s="5" t="s">
        <v>59</v>
      </c>
      <c r="E10" s="4" t="s">
        <v>60</v>
      </c>
      <c r="F10" s="5" t="s">
        <v>61</v>
      </c>
      <c r="G10" s="6" t="s">
        <v>20</v>
      </c>
      <c r="H10" s="7">
        <v>1</v>
      </c>
      <c r="I10" s="8"/>
      <c r="J10" s="8"/>
      <c r="K10" s="5" t="s">
        <v>62</v>
      </c>
      <c r="L10" s="5" t="s">
        <v>63</v>
      </c>
    </row>
    <row r="11">
      <c r="A11" s="4">
        <v>8</v>
      </c>
      <c r="B11" s="5" t="s">
        <v>64</v>
      </c>
      <c r="C11" s="5" t="s">
        <v>65</v>
      </c>
      <c r="D11" s="5" t="s">
        <v>66</v>
      </c>
      <c r="E11" s="4" t="s">
        <v>67</v>
      </c>
      <c r="F11" s="5" t="s">
        <v>68</v>
      </c>
      <c r="G11" s="6" t="s">
        <v>20</v>
      </c>
      <c r="H11" s="7">
        <v>1</v>
      </c>
      <c r="I11" s="8"/>
      <c r="J11" s="8"/>
      <c r="K11" s="5" t="s">
        <v>69</v>
      </c>
      <c r="L11" s="5" t="s">
        <v>70</v>
      </c>
    </row>
    <row r="12">
      <c r="A12" s="4">
        <v>9</v>
      </c>
      <c r="B12" s="5" t="s">
        <v>71</v>
      </c>
      <c r="C12" s="5" t="s">
        <v>65</v>
      </c>
      <c r="D12" s="5" t="s">
        <v>72</v>
      </c>
      <c r="E12" s="4" t="s">
        <v>73</v>
      </c>
      <c r="F12" s="5" t="s">
        <v>74</v>
      </c>
      <c r="G12" s="6" t="s">
        <v>75</v>
      </c>
      <c r="H12" s="7">
        <v>1</v>
      </c>
      <c r="I12" s="8"/>
      <c r="J12" s="8"/>
      <c r="K12" s="5" t="s">
        <v>76</v>
      </c>
      <c r="L12" s="5" t="s">
        <v>77</v>
      </c>
    </row>
    <row r="13">
      <c r="A13" s="4">
        <v>10</v>
      </c>
      <c r="B13" s="5" t="s">
        <v>78</v>
      </c>
      <c r="C13" s="5" t="s">
        <v>79</v>
      </c>
      <c r="D13" s="5" t="s">
        <v>80</v>
      </c>
      <c r="E13" s="4" t="s">
        <v>81</v>
      </c>
      <c r="F13" s="5" t="s">
        <v>82</v>
      </c>
      <c r="G13" s="6" t="s">
        <v>75</v>
      </c>
      <c r="H13" s="7">
        <v>1</v>
      </c>
      <c r="I13" s="8"/>
      <c r="J13" s="8"/>
      <c r="K13" s="5" t="s">
        <v>83</v>
      </c>
      <c r="L13" s="5" t="s">
        <v>84</v>
      </c>
    </row>
    <row r="14">
      <c r="A14" s="4">
        <v>11</v>
      </c>
      <c r="B14" s="5" t="s">
        <v>85</v>
      </c>
      <c r="C14" s="5" t="s">
        <v>65</v>
      </c>
      <c r="D14" s="5" t="s">
        <v>86</v>
      </c>
      <c r="E14" s="4" t="s">
        <v>87</v>
      </c>
      <c r="F14" s="5" t="s">
        <v>88</v>
      </c>
      <c r="G14" s="6" t="s">
        <v>75</v>
      </c>
      <c r="H14" s="7" t="s">
        <v>89</v>
      </c>
      <c r="I14" s="8"/>
      <c r="J14" s="8"/>
      <c r="K14" s="5" t="s">
        <v>90</v>
      </c>
      <c r="L14" s="5" t="s">
        <v>91</v>
      </c>
    </row>
    <row r="15">
      <c r="A15" s="4">
        <v>12</v>
      </c>
      <c r="B15" s="10" t="s">
        <v>92</v>
      </c>
      <c r="C15" s="5" t="s">
        <v>39</v>
      </c>
      <c r="D15" s="5" t="s">
        <v>93</v>
      </c>
      <c r="E15" s="4" t="s">
        <v>94</v>
      </c>
      <c r="F15" s="5" t="s">
        <v>95</v>
      </c>
      <c r="G15" s="11" t="s">
        <v>75</v>
      </c>
      <c r="H15" s="7">
        <v>1</v>
      </c>
      <c r="I15" s="8">
        <v>12.5</v>
      </c>
      <c r="J15" s="8">
        <v>12.5</v>
      </c>
      <c r="K15" s="5" t="s">
        <v>96</v>
      </c>
      <c r="L15" s="5" t="s">
        <v>97</v>
      </c>
    </row>
    <row r="16">
      <c r="A16" s="4">
        <v>13</v>
      </c>
      <c r="B16" s="5" t="s">
        <v>98</v>
      </c>
      <c r="C16" s="5" t="s">
        <v>39</v>
      </c>
      <c r="D16" s="5" t="s">
        <v>99</v>
      </c>
      <c r="E16" s="4" t="s">
        <v>41</v>
      </c>
      <c r="F16" s="5" t="s">
        <v>100</v>
      </c>
      <c r="G16" s="12" t="s">
        <v>75</v>
      </c>
      <c r="H16" s="7">
        <v>1</v>
      </c>
      <c r="I16" s="8">
        <v>8</v>
      </c>
      <c r="J16" s="8">
        <f t="shared" ref="J16:J18" si="0">I16*H16</f>
      </c>
      <c r="K16" s="5" t="s">
        <v>101</v>
      </c>
      <c r="L16" s="5" t="s">
        <v>102</v>
      </c>
    </row>
    <row customHeight="true" ht="16.071428571428573" r="17">
      <c r="A17" s="13" t="s">
        <v>103</v>
      </c>
      <c r="B17" s="14" t="s">
        <v>104</v>
      </c>
      <c r="C17" s="14" t="s">
        <v>32</v>
      </c>
      <c r="D17" s="14" t="s">
        <v>105</v>
      </c>
      <c r="E17" s="13" t="s">
        <v>106</v>
      </c>
      <c r="F17" s="14" t="s">
        <v>107</v>
      </c>
      <c r="G17" s="12" t="s">
        <v>75</v>
      </c>
      <c r="H17" s="15">
        <v>3</v>
      </c>
      <c r="I17" s="8">
        <v>5</v>
      </c>
      <c r="J17" s="8">
        <f t="shared" si="0"/>
      </c>
      <c r="K17" s="14" t="s">
        <v>108</v>
      </c>
      <c r="L17" s="14" t="s">
        <v>109</v>
      </c>
    </row>
    <row customHeight="true" ht="16.071428571428573" r="18">
      <c r="A18" s="13" t="s">
        <v>110</v>
      </c>
      <c r="B18" s="14" t="s">
        <v>111</v>
      </c>
      <c r="C18" s="14" t="s">
        <v>32</v>
      </c>
      <c r="D18" s="14" t="s">
        <v>112</v>
      </c>
      <c r="E18" s="13" t="s">
        <v>113</v>
      </c>
      <c r="F18" s="14" t="s">
        <v>114</v>
      </c>
      <c r="G18" s="12" t="s">
        <v>75</v>
      </c>
      <c r="H18" s="15">
        <v>1</v>
      </c>
      <c r="I18" s="8">
        <v>25</v>
      </c>
      <c r="J18" s="8">
        <f t="shared" si="0"/>
      </c>
      <c r="K18" s="14" t="s">
        <v>115</v>
      </c>
      <c r="L18" s="14" t="s">
        <v>116</v>
      </c>
    </row>
    <row customHeight="true" ht="16.071428571428573" r="19">
      <c r="A19" s="13" t="s">
        <v>117</v>
      </c>
      <c r="B19" s="14" t="s">
        <v>118</v>
      </c>
      <c r="C19" s="14" t="s">
        <v>119</v>
      </c>
      <c r="D19" s="14" t="s">
        <v>120</v>
      </c>
      <c r="E19" s="13" t="s">
        <v>121</v>
      </c>
      <c r="F19" s="14" t="s">
        <v>122</v>
      </c>
      <c r="G19" s="11" t="s">
        <v>20</v>
      </c>
      <c r="H19" s="15" t="s">
        <v>89</v>
      </c>
      <c r="I19" s="8"/>
      <c r="J19" s="8"/>
      <c r="K19" s="14" t="s">
        <v>123</v>
      </c>
      <c r="L19" s="14" t="s">
        <v>124</v>
      </c>
    </row>
    <row r="20">
      <c r="A20" s="16" t="s">
        <v>18</v>
      </c>
      <c r="B20" s="16" t="s">
        <v>125</v>
      </c>
      <c r="C20" s="17"/>
      <c r="D20" s="17"/>
      <c r="E20" s="16"/>
      <c r="F20" s="17"/>
      <c r="G20" s="17" t="s">
        <v>126</v>
      </c>
      <c r="H20" s="17"/>
      <c r="I20" s="18">
        <v>50.5</v>
      </c>
      <c r="J20" s="18">
        <v>60.5</v>
      </c>
      <c r="K20" s="17"/>
      <c r="L20" s="17"/>
    </row>
  </sheetData>
  <mergeCells>
    <mergeCell ref="A2:L2"/>
    <mergeCell ref="A1:L1"/>
  </mergeCells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38"/>
    <col collapsed="false" customWidth="true" hidden="false" max="4" min="4" style="0" width="38"/>
    <col collapsed="false" customWidth="true" hidden="false" max="1" min="1" style="0" width="50"/>
    <col collapsed="false" customWidth="true" hidden="false" max="2" min="2" style="0" width="42"/>
  </cols>
  <sheetData>
    <row customHeight="true" ht="26" r="1">
      <c r="A1" s="19" t="s">
        <v>127</v>
      </c>
    </row>
    <row customHeight="true" ht="18" r="2">
      <c r="A2" s="20" t="s">
        <v>128</v>
      </c>
    </row>
    <row customHeight="true" ht="22" r="3">
      <c r="A3" s="21" t="s">
        <v>129</v>
      </c>
      <c r="B3" s="21" t="s">
        <v>130</v>
      </c>
      <c r="C3" s="21" t="s">
        <v>131</v>
      </c>
      <c r="D3" s="21" t="s">
        <v>132</v>
      </c>
    </row>
    <row r="4">
      <c r="A4" s="22" t="s">
        <v>133</v>
      </c>
      <c r="B4" s="23" t="s">
        <v>134</v>
      </c>
      <c r="C4" s="24" t="s">
        <v>135</v>
      </c>
      <c r="D4" s="25"/>
    </row>
    <row r="5">
      <c r="A5" s="22" t="s">
        <v>136</v>
      </c>
      <c r="B5" s="23" t="s">
        <v>134</v>
      </c>
      <c r="C5" s="24" t="s">
        <v>135</v>
      </c>
      <c r="D5" s="23"/>
    </row>
    <row r="6">
      <c r="A6" s="22" t="s">
        <v>137</v>
      </c>
      <c r="B6" s="23" t="s">
        <v>138</v>
      </c>
      <c r="C6" s="26" t="s">
        <v>139</v>
      </c>
      <c r="D6" s="23" t="s">
        <v>140</v>
      </c>
    </row>
    <row r="7">
      <c r="A7" s="22" t="s">
        <v>141</v>
      </c>
      <c r="B7" s="25" t="s">
        <v>142</v>
      </c>
      <c r="C7" s="24" t="s">
        <v>139</v>
      </c>
      <c r="D7" s="23" t="s">
        <v>143</v>
      </c>
    </row>
    <row r="8">
      <c r="A8" s="22" t="s">
        <v>144</v>
      </c>
      <c r="B8" s="23" t="s">
        <v>145</v>
      </c>
      <c r="C8" s="27" t="s">
        <v>139</v>
      </c>
      <c r="D8" s="23" t="s">
        <v>146</v>
      </c>
    </row>
    <row r="9">
      <c r="A9" s="22" t="s">
        <v>147</v>
      </c>
      <c r="B9" s="23" t="s">
        <v>148</v>
      </c>
      <c r="C9" s="26" t="s">
        <v>139</v>
      </c>
      <c r="D9" s="23" t="s">
        <v>149</v>
      </c>
    </row>
    <row r="10">
      <c r="A10" s="22" t="s">
        <v>150</v>
      </c>
      <c r="B10" s="23" t="s">
        <v>151</v>
      </c>
      <c r="C10" s="26" t="s">
        <v>139</v>
      </c>
      <c r="D10" s="23" t="s">
        <v>152</v>
      </c>
    </row>
    <row r="11">
      <c r="A11" s="22" t="s">
        <v>153</v>
      </c>
      <c r="B11" s="23" t="s">
        <v>154</v>
      </c>
      <c r="C11" s="26" t="s">
        <v>139</v>
      </c>
      <c r="D11" s="23" t="s">
        <v>155</v>
      </c>
    </row>
    <row r="12">
      <c r="A12" s="22" t="s">
        <v>156</v>
      </c>
      <c r="B12" s="23" t="s">
        <v>157</v>
      </c>
      <c r="C12" s="26" t="s">
        <v>139</v>
      </c>
      <c r="D12" s="23" t="s">
        <v>158</v>
      </c>
    </row>
    <row r="13">
      <c r="A13" s="22" t="s">
        <v>159</v>
      </c>
      <c r="B13" s="23" t="s">
        <v>160</v>
      </c>
      <c r="C13" s="26" t="s">
        <v>161</v>
      </c>
      <c r="D13" s="23" t="s">
        <v>162</v>
      </c>
    </row>
    <row r="14">
      <c r="A14" s="22" t="s">
        <v>163</v>
      </c>
      <c r="B14" s="23" t="s">
        <v>164</v>
      </c>
      <c r="C14" s="26" t="s">
        <v>139</v>
      </c>
      <c r="D14" s="23" t="s">
        <v>165</v>
      </c>
    </row>
    <row r="15">
      <c r="A15" s="22" t="s">
        <v>166</v>
      </c>
      <c r="B15" s="23" t="s">
        <v>167</v>
      </c>
      <c r="C15" s="26" t="s">
        <v>139</v>
      </c>
      <c r="D15" s="23"/>
    </row>
    <row r="16">
      <c r="A16" s="22" t="s">
        <v>168</v>
      </c>
      <c r="B16" s="23" t="s">
        <v>169</v>
      </c>
      <c r="C16" s="24" t="s">
        <v>135</v>
      </c>
      <c r="D16" s="25"/>
    </row>
    <row customHeight="true" ht="16.071428571428573" r="17">
      <c r="A17" s="28" t="s">
        <v>170</v>
      </c>
      <c r="B17" s="29" t="s">
        <v>171</v>
      </c>
      <c r="C17" s="24" t="s">
        <v>139</v>
      </c>
      <c r="D17" s="29" t="s">
        <v>172</v>
      </c>
    </row>
    <row r="18">
      <c r="A18" s="30" t="s">
        <v>173</v>
      </c>
      <c r="B18" s="30">
        <f>COUNTIF(C4:C17,"✅已覆盖")&amp;" 项已覆盖"</f>
      </c>
      <c r="C18" s="31">
        <f>COUNTIF(C4:C17,"❌待购")&amp;" 项待购"</f>
      </c>
      <c r="D18" s="31">
        <f>COUNTIF(C4:C17,"⚠️备用")&amp;" 项备用"</f>
      </c>
    </row>
  </sheetData>
  <mergeCells>
    <mergeCell ref="A1:D1"/>
    <mergeCell ref="A2:D2"/>
  </mergeCells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30"/>
    <col collapsed="false" customWidth="true" hidden="false" max="5" min="5" style="0" width="8"/>
    <col collapsed="false" customWidth="true" hidden="false" max="6" min="6" style="0" width="16"/>
    <col collapsed="false" customWidth="true" hidden="false" max="7" min="7" style="0" width="16"/>
    <col collapsed="false" customWidth="true" hidden="false" max="1" min="1" style="0" width="50"/>
    <col collapsed="false" customWidth="true" hidden="false" max="2" min="2" style="0" width="21"/>
    <col collapsed="false" customWidth="true" hidden="false" max="3" min="3" style="0" width="35"/>
  </cols>
  <sheetData>
    <row customHeight="true" ht="26" r="1">
      <c r="A1" s="32" t="s">
        <v>174</v>
      </c>
    </row>
    <row customHeight="true" ht="18" r="2">
      <c r="A2" s="33" t="s">
        <v>175</v>
      </c>
    </row>
    <row customHeight="true" ht="20" r="3">
      <c r="A3" s="34" t="s">
        <v>176</v>
      </c>
    </row>
    <row customHeight="true" ht="22" r="4">
      <c r="A4" s="35" t="s">
        <v>177</v>
      </c>
      <c r="B4" s="35" t="s">
        <v>178</v>
      </c>
      <c r="C4" s="35" t="s">
        <v>179</v>
      </c>
      <c r="D4" s="35" t="s">
        <v>180</v>
      </c>
      <c r="E4" s="35" t="s">
        <v>181</v>
      </c>
      <c r="F4" s="35" t="s">
        <v>182</v>
      </c>
      <c r="G4" s="35" t="s">
        <v>183</v>
      </c>
    </row>
    <row r="5">
      <c r="A5" s="36">
        <v>1</v>
      </c>
      <c r="B5" s="37" t="s">
        <v>184</v>
      </c>
      <c r="C5" s="37" t="s">
        <v>185</v>
      </c>
      <c r="D5" s="37" t="s">
        <v>186</v>
      </c>
      <c r="E5" s="38">
        <v>1</v>
      </c>
      <c r="F5" s="39">
        <v>12.5</v>
      </c>
      <c r="G5" s="39">
        <f t="shared" ref="G5:G8" si="0">F5*E5</f>
      </c>
    </row>
    <row r="6">
      <c r="A6" s="36">
        <v>2</v>
      </c>
      <c r="B6" s="37" t="s">
        <v>187</v>
      </c>
      <c r="C6" s="37" t="s">
        <v>188</v>
      </c>
      <c r="D6" s="37" t="s">
        <v>189</v>
      </c>
      <c r="E6" s="38">
        <v>1</v>
      </c>
      <c r="F6" s="39">
        <v>8</v>
      </c>
      <c r="G6" s="39">
        <f t="shared" si="0"/>
      </c>
    </row>
    <row customHeight="true" ht="16.071428571428573" r="7">
      <c r="A7" s="40" t="s">
        <v>190</v>
      </c>
      <c r="B7" s="41" t="s">
        <v>191</v>
      </c>
      <c r="C7" s="41" t="s">
        <v>192</v>
      </c>
      <c r="D7" s="41" t="s">
        <v>193</v>
      </c>
      <c r="E7" s="42">
        <v>3</v>
      </c>
      <c r="F7" s="39">
        <v>5</v>
      </c>
      <c r="G7" s="39">
        <f t="shared" si="0"/>
      </c>
    </row>
    <row customHeight="true" ht="16.071428571428573" r="8">
      <c r="A8" s="40" t="s">
        <v>194</v>
      </c>
      <c r="B8" s="41" t="s">
        <v>195</v>
      </c>
      <c r="C8" s="41" t="s">
        <v>196</v>
      </c>
      <c r="D8" s="41" t="s">
        <v>197</v>
      </c>
      <c r="E8" s="42">
        <v>1</v>
      </c>
      <c r="F8" s="39">
        <v>25</v>
      </c>
      <c r="G8" s="39">
        <f t="shared" si="0"/>
      </c>
    </row>
    <row r="9">
      <c r="A9" s="43" t="s">
        <v>198</v>
      </c>
      <c r="B9" s="43" t="s">
        <v>199</v>
      </c>
      <c r="C9" s="44"/>
      <c r="D9" s="44"/>
      <c r="E9" s="43"/>
      <c r="F9" s="45">
        <f>SUM(F5:F8)</f>
      </c>
      <c r="G9" s="45">
        <f>SUM(G5:G8)</f>
      </c>
    </row>
    <row customHeight="true" ht="20" r="10">
      <c r="A10" s="34" t="s">
        <v>200</v>
      </c>
    </row>
    <row customHeight="true" ht="22" r="11">
      <c r="A11" s="35" t="s">
        <v>177</v>
      </c>
      <c r="B11" s="35" t="s">
        <v>178</v>
      </c>
      <c r="C11" s="35" t="s">
        <v>179</v>
      </c>
      <c r="D11" s="35" t="s">
        <v>180</v>
      </c>
      <c r="E11" s="35" t="s">
        <v>181</v>
      </c>
      <c r="F11" s="35" t="s">
        <v>182</v>
      </c>
      <c r="G11" s="35" t="s">
        <v>183</v>
      </c>
    </row>
    <row r="12">
      <c r="A12" s="36">
        <v>1</v>
      </c>
      <c r="B12" s="37" t="s">
        <v>201</v>
      </c>
      <c r="C12" s="37" t="s">
        <v>202</v>
      </c>
      <c r="D12" s="37" t="s">
        <v>203</v>
      </c>
      <c r="E12" s="38">
        <v>1</v>
      </c>
      <c r="F12" s="38">
        <v>15</v>
      </c>
      <c r="G12" s="38">
        <f t="shared" ref="G12:G15" si="1">F12*E12</f>
      </c>
    </row>
    <row r="13">
      <c r="A13" s="36" t="s">
        <v>204</v>
      </c>
      <c r="B13" s="37" t="s">
        <v>205</v>
      </c>
      <c r="C13" s="37" t="s">
        <v>206</v>
      </c>
      <c r="D13" s="37" t="s">
        <v>207</v>
      </c>
      <c r="E13" s="46" t="s">
        <v>208</v>
      </c>
      <c r="F13" s="38">
        <v>2</v>
      </c>
      <c r="G13" s="38">
        <f t="shared" si="1"/>
      </c>
    </row>
    <row r="14">
      <c r="A14" s="36">
        <v>3</v>
      </c>
      <c r="B14" s="37" t="s">
        <v>209</v>
      </c>
      <c r="C14" s="37" t="s">
        <v>210</v>
      </c>
      <c r="D14" s="37" t="s">
        <v>211</v>
      </c>
      <c r="E14" s="38">
        <v>1</v>
      </c>
      <c r="F14" s="38">
        <v>15</v>
      </c>
      <c r="G14" s="38">
        <f t="shared" si="1"/>
      </c>
    </row>
    <row r="15">
      <c r="A15" s="36">
        <v>4</v>
      </c>
      <c r="B15" s="37" t="s">
        <v>212</v>
      </c>
      <c r="C15" s="37" t="s">
        <v>213</v>
      </c>
      <c r="D15" s="37" t="s">
        <v>214</v>
      </c>
      <c r="E15" s="38">
        <v>5</v>
      </c>
      <c r="F15" s="38">
        <v>1</v>
      </c>
      <c r="G15" s="38">
        <f t="shared" si="1"/>
      </c>
    </row>
    <row r="16">
      <c r="A16" s="43" t="s">
        <v>198</v>
      </c>
      <c r="B16" s="43" t="s">
        <v>215</v>
      </c>
      <c r="C16" s="44"/>
      <c r="D16" s="44"/>
      <c r="E16" s="43"/>
      <c r="F16" s="47">
        <f>SUM(F12:F15)</f>
      </c>
      <c r="G16" s="47">
        <f>SUM(G12:G15)</f>
      </c>
    </row>
    <row r="17"/>
    <row customHeight="true" ht="20" r="18">
      <c r="A18" s="34" t="s">
        <v>216</v>
      </c>
    </row>
    <row customHeight="true" ht="22" r="19">
      <c r="A19" s="35" t="s">
        <v>178</v>
      </c>
      <c r="B19" s="35" t="s">
        <v>217</v>
      </c>
      <c r="C19" s="35" t="s">
        <v>218</v>
      </c>
    </row>
    <row r="20">
      <c r="A20" s="37" t="s">
        <v>219</v>
      </c>
      <c r="B20" s="37" t="s">
        <v>220</v>
      </c>
      <c r="C20" s="37" t="s">
        <v>221</v>
      </c>
    </row>
    <row r="21">
      <c r="A21" s="37" t="s">
        <v>222</v>
      </c>
      <c r="B21" s="37" t="s">
        <v>223</v>
      </c>
      <c r="C21" s="37" t="s">
        <v>224</v>
      </c>
    </row>
    <row r="22">
      <c r="A22" s="37" t="s">
        <v>225</v>
      </c>
      <c r="B22" s="37" t="s">
        <v>226</v>
      </c>
      <c r="C22" s="37" t="s">
        <v>227</v>
      </c>
    </row>
    <row r="23">
      <c r="A23" s="37" t="s">
        <v>228</v>
      </c>
      <c r="B23" s="37" t="s">
        <v>229</v>
      </c>
      <c r="C23" s="37" t="s">
        <v>230</v>
      </c>
    </row>
    <row r="24">
      <c r="A24" s="37" t="s">
        <v>212</v>
      </c>
      <c r="B24" s="37" t="s">
        <v>231</v>
      </c>
      <c r="C24" s="37" t="s">
        <v>232</v>
      </c>
    </row>
    <row r="25">
      <c r="A25" s="37" t="s">
        <v>233</v>
      </c>
      <c r="B25" s="37" t="s">
        <v>234</v>
      </c>
      <c r="C25" s="37" t="s">
        <v>235</v>
      </c>
    </row>
    <row r="26">
      <c r="A26" s="37" t="s">
        <v>236</v>
      </c>
      <c r="B26" s="37" t="s">
        <v>237</v>
      </c>
      <c r="C26" s="37" t="s">
        <v>238</v>
      </c>
    </row>
    <row r="27">
      <c r="A27" s="37" t="s">
        <v>239</v>
      </c>
      <c r="B27" s="37" t="s">
        <v>240</v>
      </c>
      <c r="C27" s="37" t="s">
        <v>241</v>
      </c>
    </row>
    <row r="28">
      <c r="A28" s="37" t="s">
        <v>242</v>
      </c>
      <c r="B28" s="37" t="s">
        <v>243</v>
      </c>
      <c r="C28" s="37" t="s">
        <v>244</v>
      </c>
    </row>
    <row r="29">
      <c r="A29" s="37" t="s">
        <v>245</v>
      </c>
      <c r="B29" s="37" t="s">
        <v>246</v>
      </c>
      <c r="C29" s="37" t="s">
        <v>247</v>
      </c>
    </row>
    <row r="30">
      <c r="A30" s="37" t="s">
        <v>195</v>
      </c>
      <c r="B30" s="37" t="s">
        <v>248</v>
      </c>
      <c r="C30" s="37" t="s">
        <v>249</v>
      </c>
    </row>
    <row r="31">
      <c r="A31" s="41" t="s">
        <v>250</v>
      </c>
      <c r="B31" s="41" t="s">
        <v>251</v>
      </c>
      <c r="C31" s="41" t="s">
        <v>252</v>
      </c>
    </row>
    <row customHeight="true" ht="54" r="32">
      <c r="A32" s="48" t="s">
        <v>253</v>
      </c>
    </row>
    <row r="33">
      <c r="A33" s="49"/>
      <c r="B33" s="49"/>
      <c r="C33" s="49"/>
      <c r="D33" s="49"/>
      <c r="E33" s="49"/>
      <c r="F33" s="49"/>
      <c r="G33" s="50"/>
    </row>
  </sheetData>
  <mergeCells>
    <mergeCell ref="A1:G1"/>
    <mergeCell ref="A3:G3"/>
    <mergeCell ref="A2:G2"/>
    <mergeCell ref="A18:C18"/>
    <mergeCell ref="A32:G32"/>
    <mergeCell ref="A10:G10"/>
  </mergeCells>
  <pageMargins bottom="1" footer="0.5" header="0.5" left="0.75" right="0.75" top="1"/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16"/>
  <cols>
    <col collapsed="false" customWidth="true" hidden="false" max="1" min="1" style="0" width="12.338028169014084"/>
    <col collapsed="false" customWidth="true" hidden="false" max="2" min="2" style="0" width="8.394366197183098"/>
    <col collapsed="false" customWidth="true" hidden="false" max="3" min="3" style="0" width="10.647887323943662"/>
    <col collapsed="false" customWidth="true" hidden="false" max="4" min="4" style="0" width="14.591549295774648"/>
    <col collapsed="false" customWidth="true" hidden="false" max="5" min="5" style="0" width="8.169014084507042"/>
    <col collapsed="false" customWidth="true" hidden="false" max="6" min="6" style="0" width="14.028169014084508"/>
    <col collapsed="false" customWidth="true" hidden="false" max="7" min="7" style="0" width="19.098591549295776"/>
  </cols>
  <sheetData>
    <row customHeight="true" ht="20.238095238095237" r="1">
      <c r="A1" s="51" t="s">
        <v>254</v>
      </c>
      <c r="B1" s="51"/>
      <c r="C1" s="51"/>
      <c r="D1" s="51"/>
      <c r="E1" s="51"/>
      <c r="F1" s="51"/>
      <c r="G1" s="51"/>
    </row>
    <row r="2">
      <c r="A2" s="52" t="s">
        <v>255</v>
      </c>
      <c r="B2" s="52" t="s">
        <v>256</v>
      </c>
      <c r="C2" s="52" t="s">
        <v>257</v>
      </c>
      <c r="D2" s="52" t="s">
        <v>258</v>
      </c>
      <c r="E2" s="52" t="s">
        <v>259</v>
      </c>
      <c r="F2" s="52" t="s">
        <v>260</v>
      </c>
      <c r="G2" s="52" t="s">
        <v>261</v>
      </c>
    </row>
    <row r="3">
      <c r="A3" s="53" t="s">
        <v>262</v>
      </c>
      <c r="B3" s="53" t="s">
        <v>263</v>
      </c>
      <c r="C3" s="54" t="s">
        <v>264</v>
      </c>
      <c r="D3" s="54" t="s">
        <v>265</v>
      </c>
      <c r="E3" s="53" t="s">
        <v>266</v>
      </c>
      <c r="F3" s="54" t="s">
        <v>267</v>
      </c>
      <c r="G3" s="54" t="s">
        <v>268</v>
      </c>
    </row>
    <row r="4">
      <c r="A4" s="53" t="s">
        <v>262</v>
      </c>
      <c r="B4" s="53" t="s">
        <v>269</v>
      </c>
      <c r="C4" s="54" t="s">
        <v>270</v>
      </c>
      <c r="D4" s="54" t="s">
        <v>271</v>
      </c>
      <c r="E4" s="53" t="s">
        <v>266</v>
      </c>
      <c r="F4" s="54" t="s">
        <v>272</v>
      </c>
      <c r="G4" s="54" t="s">
        <v>273</v>
      </c>
    </row>
    <row r="5">
      <c r="A5" s="53" t="s">
        <v>262</v>
      </c>
      <c r="B5" s="53" t="s">
        <v>274</v>
      </c>
      <c r="C5" s="54" t="s">
        <v>275</v>
      </c>
      <c r="D5" s="54" t="s">
        <v>276</v>
      </c>
      <c r="E5" s="53" t="s">
        <v>266</v>
      </c>
      <c r="F5" s="54" t="s">
        <v>277</v>
      </c>
      <c r="G5" s="54" t="s">
        <v>278</v>
      </c>
    </row>
    <row r="6">
      <c r="A6" s="53" t="s">
        <v>262</v>
      </c>
      <c r="B6" s="53" t="s">
        <v>279</v>
      </c>
      <c r="C6" s="54" t="s">
        <v>280</v>
      </c>
      <c r="D6" s="54" t="s">
        <v>276</v>
      </c>
      <c r="E6" s="53" t="s">
        <v>266</v>
      </c>
      <c r="F6" s="54" t="s">
        <v>281</v>
      </c>
      <c r="G6" s="54" t="s">
        <v>282</v>
      </c>
    </row>
    <row r="7">
      <c r="A7" s="53" t="s">
        <v>262</v>
      </c>
      <c r="B7" s="53" t="s">
        <v>283</v>
      </c>
      <c r="C7" s="54" t="s">
        <v>284</v>
      </c>
      <c r="D7" s="54" t="s">
        <v>285</v>
      </c>
      <c r="E7" s="53" t="s">
        <v>266</v>
      </c>
      <c r="F7" s="54" t="s">
        <v>286</v>
      </c>
      <c r="G7" s="54" t="s">
        <v>287</v>
      </c>
    </row>
    <row r="8">
      <c r="A8" s="53" t="s">
        <v>262</v>
      </c>
      <c r="B8" s="53" t="s">
        <v>288</v>
      </c>
      <c r="C8" s="54" t="s">
        <v>289</v>
      </c>
      <c r="D8" s="54" t="s">
        <v>276</v>
      </c>
      <c r="E8" s="53" t="s">
        <v>266</v>
      </c>
      <c r="F8" s="54" t="s">
        <v>290</v>
      </c>
      <c r="G8" s="54" t="s">
        <v>291</v>
      </c>
    </row>
    <row r="9">
      <c r="A9" s="53" t="s">
        <v>262</v>
      </c>
      <c r="B9" s="53" t="s">
        <v>292</v>
      </c>
      <c r="C9" s="54" t="s">
        <v>293</v>
      </c>
      <c r="D9" s="54" t="s">
        <v>294</v>
      </c>
      <c r="E9" s="53" t="s">
        <v>295</v>
      </c>
      <c r="F9" s="54" t="s">
        <v>296</v>
      </c>
      <c r="G9" s="54" t="s">
        <v>297</v>
      </c>
    </row>
    <row r="10">
      <c r="A10" s="53" t="s">
        <v>298</v>
      </c>
      <c r="B10" s="53" t="s">
        <v>299</v>
      </c>
      <c r="C10" s="54" t="s">
        <v>300</v>
      </c>
      <c r="D10" s="54" t="s">
        <v>301</v>
      </c>
      <c r="E10" s="53" t="s">
        <v>266</v>
      </c>
      <c r="F10" s="54" t="s">
        <v>302</v>
      </c>
      <c r="G10" s="54" t="s">
        <v>303</v>
      </c>
    </row>
    <row r="11">
      <c r="A11" s="53" t="s">
        <v>298</v>
      </c>
      <c r="B11" s="53" t="s">
        <v>304</v>
      </c>
      <c r="C11" s="54" t="s">
        <v>305</v>
      </c>
      <c r="D11" s="54" t="s">
        <v>306</v>
      </c>
      <c r="E11" s="53" t="s">
        <v>266</v>
      </c>
      <c r="F11" s="54" t="s">
        <v>307</v>
      </c>
      <c r="G11" s="54" t="s">
        <v>273</v>
      </c>
    </row>
    <row r="12">
      <c r="A12" s="53" t="s">
        <v>298</v>
      </c>
      <c r="B12" s="53" t="s">
        <v>308</v>
      </c>
      <c r="C12" s="54" t="s">
        <v>309</v>
      </c>
      <c r="D12" s="54" t="s">
        <v>310</v>
      </c>
      <c r="E12" s="53" t="s">
        <v>295</v>
      </c>
      <c r="F12" s="54" t="s">
        <v>311</v>
      </c>
      <c r="G12" s="54" t="s">
        <v>273</v>
      </c>
    </row>
    <row r="13">
      <c r="A13" s="53" t="s">
        <v>298</v>
      </c>
      <c r="B13" s="53" t="s">
        <v>312</v>
      </c>
      <c r="C13" s="54" t="s">
        <v>313</v>
      </c>
      <c r="D13" s="54" t="s">
        <v>276</v>
      </c>
      <c r="E13" s="53" t="s">
        <v>266</v>
      </c>
      <c r="F13" s="54" t="s">
        <v>314</v>
      </c>
      <c r="G13" s="54" t="s">
        <v>282</v>
      </c>
    </row>
    <row r="14">
      <c r="A14" s="53" t="s">
        <v>298</v>
      </c>
      <c r="B14" s="53" t="s">
        <v>315</v>
      </c>
      <c r="C14" s="54" t="s">
        <v>316</v>
      </c>
      <c r="D14" s="54" t="s">
        <v>317</v>
      </c>
      <c r="E14" s="53" t="s">
        <v>295</v>
      </c>
      <c r="F14" s="54" t="s">
        <v>318</v>
      </c>
      <c r="G14" s="54" t="s">
        <v>319</v>
      </c>
    </row>
    <row r="15">
      <c r="A15" s="53" t="s">
        <v>320</v>
      </c>
      <c r="B15" s="53" t="s">
        <v>321</v>
      </c>
      <c r="C15" s="54" t="s">
        <v>322</v>
      </c>
      <c r="D15" s="54" t="s">
        <v>323</v>
      </c>
      <c r="E15" s="53" t="s">
        <v>324</v>
      </c>
      <c r="F15" s="54" t="s">
        <v>325</v>
      </c>
      <c r="G15" s="54" t="s">
        <v>326</v>
      </c>
    </row>
    <row r="16">
      <c r="A16" s="53" t="s">
        <v>320</v>
      </c>
      <c r="B16" s="53" t="s">
        <v>327</v>
      </c>
      <c r="C16" s="54" t="s">
        <v>328</v>
      </c>
      <c r="D16" s="54" t="s">
        <v>329</v>
      </c>
      <c r="E16" s="53" t="s">
        <v>324</v>
      </c>
      <c r="F16" s="54" t="s">
        <v>330</v>
      </c>
      <c r="G16" s="54" t="s">
        <v>331</v>
      </c>
    </row>
    <row r="17">
      <c r="A17" s="53" t="s">
        <v>320</v>
      </c>
      <c r="B17" s="53" t="s">
        <v>332</v>
      </c>
      <c r="C17" s="54" t="s">
        <v>333</v>
      </c>
      <c r="D17" s="54" t="s">
        <v>334</v>
      </c>
      <c r="E17" s="53" t="s">
        <v>324</v>
      </c>
      <c r="F17" s="54" t="s">
        <v>335</v>
      </c>
      <c r="G17" s="54" t="s">
        <v>331</v>
      </c>
    </row>
    <row r="18">
      <c r="A18" s="53" t="s">
        <v>320</v>
      </c>
      <c r="B18" s="53" t="s">
        <v>336</v>
      </c>
      <c r="C18" s="54" t="s">
        <v>337</v>
      </c>
      <c r="D18" s="54" t="s">
        <v>338</v>
      </c>
      <c r="E18" s="53" t="s">
        <v>324</v>
      </c>
      <c r="F18" s="54" t="s">
        <v>339</v>
      </c>
      <c r="G18" s="54" t="s">
        <v>340</v>
      </c>
    </row>
    <row r="19">
      <c r="A19" s="53" t="s">
        <v>341</v>
      </c>
      <c r="B19" s="53" t="s">
        <v>342</v>
      </c>
      <c r="C19" s="54" t="s">
        <v>343</v>
      </c>
      <c r="D19" s="54" t="s">
        <v>344</v>
      </c>
      <c r="E19" s="53" t="s">
        <v>345</v>
      </c>
      <c r="F19" s="54" t="s">
        <v>346</v>
      </c>
      <c r="G19" s="54" t="s">
        <v>347</v>
      </c>
    </row>
    <row r="20">
      <c r="A20" s="53" t="s">
        <v>348</v>
      </c>
      <c r="B20" s="53" t="s">
        <v>349</v>
      </c>
      <c r="C20" s="54" t="s">
        <v>350</v>
      </c>
      <c r="D20" s="54" t="s">
        <v>351</v>
      </c>
      <c r="E20" s="53" t="s">
        <v>295</v>
      </c>
      <c r="F20" s="54" t="s">
        <v>352</v>
      </c>
      <c r="G20" s="54" t="s">
        <v>353</v>
      </c>
    </row>
    <row r="21">
      <c r="A21" s="53" t="s">
        <v>348</v>
      </c>
      <c r="B21" s="53" t="s">
        <v>354</v>
      </c>
      <c r="C21" s="54" t="s">
        <v>355</v>
      </c>
      <c r="D21" s="54" t="s">
        <v>356</v>
      </c>
      <c r="E21" s="53" t="s">
        <v>266</v>
      </c>
      <c r="F21" s="54" t="s">
        <v>357</v>
      </c>
      <c r="G21" s="54" t="s">
        <v>358</v>
      </c>
    </row>
    <row r="22">
      <c r="A22" s="53" t="s">
        <v>359</v>
      </c>
      <c r="B22" s="53" t="s">
        <v>360</v>
      </c>
      <c r="C22" s="54" t="s">
        <v>361</v>
      </c>
      <c r="D22" s="54" t="s">
        <v>362</v>
      </c>
      <c r="E22" s="53" t="s">
        <v>266</v>
      </c>
      <c r="F22" s="54" t="s">
        <v>363</v>
      </c>
      <c r="G22" s="54" t="s">
        <v>364</v>
      </c>
    </row>
    <row r="23">
      <c r="A23" s="53" t="s">
        <v>359</v>
      </c>
      <c r="B23" s="53" t="s">
        <v>365</v>
      </c>
      <c r="C23" s="54" t="s">
        <v>366</v>
      </c>
      <c r="D23" s="54" t="s">
        <v>367</v>
      </c>
      <c r="E23" s="53" t="s">
        <v>295</v>
      </c>
      <c r="F23" s="54" t="s">
        <v>368</v>
      </c>
      <c r="G23" s="54" t="s">
        <v>369</v>
      </c>
    </row>
    <row r="24">
      <c r="A24" s="53" t="s">
        <v>370</v>
      </c>
      <c r="B24" s="53" t="s">
        <v>371</v>
      </c>
      <c r="C24" s="54" t="s">
        <v>372</v>
      </c>
      <c r="D24" s="54" t="s">
        <v>373</v>
      </c>
      <c r="E24" s="53" t="s">
        <v>266</v>
      </c>
      <c r="F24" s="54" t="s">
        <v>374</v>
      </c>
      <c r="G24" s="54" t="s">
        <v>375</v>
      </c>
    </row>
    <row r="25">
      <c r="A25" s="53" t="s">
        <v>370</v>
      </c>
      <c r="B25" s="53" t="s">
        <v>376</v>
      </c>
      <c r="C25" s="54" t="s">
        <v>377</v>
      </c>
      <c r="D25" s="54" t="s">
        <v>378</v>
      </c>
      <c r="E25" s="53" t="s">
        <v>295</v>
      </c>
      <c r="F25" s="54" t="s">
        <v>379</v>
      </c>
      <c r="G25" s="54" t="s">
        <v>380</v>
      </c>
    </row>
    <row r="26">
      <c r="A26" s="53" t="s">
        <v>370</v>
      </c>
      <c r="B26" s="53" t="s">
        <v>381</v>
      </c>
      <c r="C26" s="54" t="s">
        <v>382</v>
      </c>
      <c r="D26" s="54" t="s">
        <v>276</v>
      </c>
      <c r="E26" s="53" t="s">
        <v>266</v>
      </c>
      <c r="F26" s="54" t="s">
        <v>383</v>
      </c>
      <c r="G26" s="54" t="s">
        <v>384</v>
      </c>
    </row>
    <row r="27">
      <c r="A27" s="53" t="s">
        <v>385</v>
      </c>
      <c r="B27" s="53" t="s">
        <v>386</v>
      </c>
      <c r="C27" s="54" t="s">
        <v>387</v>
      </c>
      <c r="D27" s="54" t="s">
        <v>388</v>
      </c>
      <c r="E27" s="53" t="s">
        <v>389</v>
      </c>
      <c r="F27" s="54" t="s">
        <v>390</v>
      </c>
      <c r="G27" s="54" t="s">
        <v>391</v>
      </c>
    </row>
    <row r="28">
      <c r="A28" s="53" t="s">
        <v>385</v>
      </c>
      <c r="B28" s="53" t="s">
        <v>392</v>
      </c>
      <c r="C28" s="54" t="s">
        <v>393</v>
      </c>
      <c r="D28" s="54" t="s">
        <v>276</v>
      </c>
      <c r="E28" s="53" t="s">
        <v>266</v>
      </c>
      <c r="F28" s="54" t="s">
        <v>394</v>
      </c>
      <c r="G28" s="54" t="s">
        <v>395</v>
      </c>
    </row>
    <row r="29">
      <c r="A29" s="53" t="s">
        <v>385</v>
      </c>
      <c r="B29" s="53" t="s">
        <v>396</v>
      </c>
      <c r="C29" s="54" t="s">
        <v>397</v>
      </c>
      <c r="D29" s="54" t="s">
        <v>276</v>
      </c>
      <c r="E29" s="53" t="s">
        <v>266</v>
      </c>
      <c r="F29" s="54" t="s">
        <v>398</v>
      </c>
      <c r="G29" s="54" t="s">
        <v>395</v>
      </c>
    </row>
    <row r="30">
      <c r="A30" s="53" t="s">
        <v>385</v>
      </c>
      <c r="B30" s="53" t="s">
        <v>399</v>
      </c>
      <c r="C30" s="54" t="s">
        <v>400</v>
      </c>
      <c r="D30" s="54" t="s">
        <v>276</v>
      </c>
      <c r="E30" s="53" t="s">
        <v>266</v>
      </c>
      <c r="F30" s="54" t="s">
        <v>401</v>
      </c>
      <c r="G30" s="54" t="s">
        <v>402</v>
      </c>
    </row>
    <row r="31">
      <c r="A31" s="53" t="s">
        <v>403</v>
      </c>
      <c r="B31" s="53" t="s">
        <v>404</v>
      </c>
      <c r="C31" s="54" t="s">
        <v>405</v>
      </c>
      <c r="D31" s="54" t="s">
        <v>276</v>
      </c>
      <c r="E31" s="53" t="s">
        <v>266</v>
      </c>
      <c r="F31" s="54" t="s">
        <v>406</v>
      </c>
      <c r="G31" s="54" t="s">
        <v>407</v>
      </c>
    </row>
    <row r="32">
      <c r="A32" s="53" t="s">
        <v>403</v>
      </c>
      <c r="B32" s="53" t="s">
        <v>408</v>
      </c>
      <c r="C32" s="54" t="s">
        <v>409</v>
      </c>
      <c r="D32" s="54" t="s">
        <v>276</v>
      </c>
      <c r="E32" s="53" t="s">
        <v>266</v>
      </c>
      <c r="F32" s="54" t="s">
        <v>410</v>
      </c>
      <c r="G32" s="54" t="s">
        <v>411</v>
      </c>
    </row>
    <row r="33">
      <c r="A33" s="53" t="s">
        <v>403</v>
      </c>
      <c r="B33" s="53" t="s">
        <v>412</v>
      </c>
      <c r="C33" s="54" t="s">
        <v>413</v>
      </c>
      <c r="D33" s="54" t="s">
        <v>276</v>
      </c>
      <c r="E33" s="53" t="s">
        <v>266</v>
      </c>
      <c r="F33" s="54" t="s">
        <v>414</v>
      </c>
      <c r="G33" s="54" t="s">
        <v>415</v>
      </c>
    </row>
    <row r="34">
      <c r="A34" s="53" t="s">
        <v>403</v>
      </c>
      <c r="B34" s="53" t="s">
        <v>416</v>
      </c>
      <c r="C34" s="54" t="s">
        <v>417</v>
      </c>
      <c r="D34" s="54" t="s">
        <v>418</v>
      </c>
      <c r="E34" s="53" t="s">
        <v>389</v>
      </c>
      <c r="F34" s="54" t="s">
        <v>419</v>
      </c>
      <c r="G34" s="54" t="s">
        <v>420</v>
      </c>
    </row>
    <row r="35">
      <c r="A35" s="53" t="s">
        <v>403</v>
      </c>
      <c r="B35" s="53" t="s">
        <v>421</v>
      </c>
      <c r="C35" s="54" t="s">
        <v>422</v>
      </c>
      <c r="D35" s="54" t="s">
        <v>276</v>
      </c>
      <c r="E35" s="53" t="s">
        <v>266</v>
      </c>
      <c r="F35" s="54" t="s">
        <v>423</v>
      </c>
      <c r="G35" s="54" t="s">
        <v>424</v>
      </c>
    </row>
    <row r="36">
      <c r="A36" s="53" t="s">
        <v>425</v>
      </c>
      <c r="B36" s="53" t="s">
        <v>426</v>
      </c>
      <c r="C36" s="54" t="s">
        <v>427</v>
      </c>
      <c r="D36" s="54" t="s">
        <v>428</v>
      </c>
      <c r="E36" s="53" t="s">
        <v>429</v>
      </c>
      <c r="F36" s="54" t="s">
        <v>430</v>
      </c>
      <c r="G36" s="54" t="s">
        <v>431</v>
      </c>
    </row>
    <row r="37">
      <c r="A37" s="53" t="s">
        <v>425</v>
      </c>
      <c r="B37" s="53" t="s">
        <v>432</v>
      </c>
      <c r="C37" s="54" t="s">
        <v>433</v>
      </c>
      <c r="D37" s="54" t="s">
        <v>428</v>
      </c>
      <c r="E37" s="53" t="s">
        <v>429</v>
      </c>
      <c r="F37" s="54" t="s">
        <v>434</v>
      </c>
      <c r="G37" s="54" t="s">
        <v>435</v>
      </c>
    </row>
    <row r="38">
      <c r="A38" s="53" t="s">
        <v>436</v>
      </c>
      <c r="B38" s="53" t="s">
        <v>437</v>
      </c>
      <c r="C38" s="54" t="s">
        <v>438</v>
      </c>
      <c r="D38" s="54" t="s">
        <v>439</v>
      </c>
      <c r="E38" s="53" t="s">
        <v>440</v>
      </c>
      <c r="F38" s="54" t="s">
        <v>441</v>
      </c>
      <c r="G38" s="54" t="s">
        <v>442</v>
      </c>
    </row>
    <row r="39">
      <c r="A39" s="55" t="s">
        <v>436</v>
      </c>
      <c r="B39" s="55" t="s">
        <v>443</v>
      </c>
      <c r="C39" s="56" t="s">
        <v>444</v>
      </c>
      <c r="D39" s="56" t="s">
        <v>444</v>
      </c>
      <c r="E39" s="55" t="s">
        <v>440</v>
      </c>
      <c r="F39" s="56" t="s">
        <v>440</v>
      </c>
      <c r="G39" s="56" t="s">
        <v>442</v>
      </c>
    </row>
    <row customHeight="true" ht="25" r="40">
      <c r="A40" s="57" t="s">
        <v>273</v>
      </c>
      <c r="B40" s="57" t="s">
        <v>273</v>
      </c>
      <c r="C40" s="58" t="s">
        <v>273</v>
      </c>
      <c r="D40" s="58" t="s">
        <v>273</v>
      </c>
      <c r="E40" s="57" t="s">
        <v>273</v>
      </c>
      <c r="F40" s="58" t="s">
        <v>273</v>
      </c>
      <c r="G40" s="58" t="s">
        <v>273</v>
      </c>
    </row>
    <row customHeight="true" ht="25" r="41">
      <c r="A41" s="59" t="s">
        <v>445</v>
      </c>
      <c r="B41" s="59"/>
      <c r="C41" s="59"/>
      <c r="D41" s="59"/>
      <c r="E41" s="59"/>
      <c r="F41" s="59"/>
      <c r="G41" s="59"/>
    </row>
    <row customHeight="true" ht="27.380952380952383" r="42">
      <c r="A42" s="58" t="s">
        <v>446</v>
      </c>
      <c r="B42" s="58"/>
      <c r="C42" s="58"/>
      <c r="D42" s="58"/>
      <c r="E42" s="58"/>
      <c r="F42" s="58"/>
      <c r="G42" s="58"/>
    </row>
    <row customHeight="true" ht="27.380952380952383" r="43">
      <c r="A43" s="58" t="s">
        <v>447</v>
      </c>
      <c r="B43" s="58"/>
      <c r="C43" s="58"/>
      <c r="D43" s="58"/>
      <c r="E43" s="58"/>
      <c r="F43" s="58"/>
      <c r="G43" s="58"/>
    </row>
    <row customHeight="true" ht="27.380952380952383" r="44">
      <c r="A44" s="60" t="s">
        <v>448</v>
      </c>
      <c r="B44" s="60"/>
      <c r="C44" s="60"/>
      <c r="D44" s="60"/>
      <c r="E44" s="60"/>
      <c r="F44" s="60"/>
      <c r="G44" s="60"/>
    </row>
    <row customHeight="true" ht="27.380952380952383" r="45">
      <c r="A45" s="61" t="s">
        <v>449</v>
      </c>
      <c r="B45" s="61"/>
      <c r="C45" s="61"/>
      <c r="D45" s="61"/>
      <c r="E45" s="61"/>
      <c r="F45" s="61"/>
      <c r="G45" s="61"/>
    </row>
    <row customHeight="true" ht="27.380952380952383" r="46">
      <c r="A46" s="60" t="s">
        <v>450</v>
      </c>
      <c r="B46" s="60"/>
      <c r="C46" s="60"/>
      <c r="D46" s="60"/>
      <c r="E46" s="60"/>
      <c r="F46" s="60"/>
      <c r="G46" s="60"/>
    </row>
    <row customHeight="true" ht="27.380952380952383" r="47">
      <c r="A47" s="60" t="s">
        <v>451</v>
      </c>
      <c r="B47" s="60"/>
      <c r="C47" s="60"/>
      <c r="D47" s="60"/>
      <c r="E47" s="60"/>
      <c r="F47" s="60"/>
      <c r="G47" s="60"/>
    </row>
    <row customHeight="true" ht="27.380952380952383" r="48">
      <c r="A48" s="60" t="s">
        <v>452</v>
      </c>
      <c r="B48" s="60"/>
      <c r="C48" s="60"/>
      <c r="D48" s="60"/>
      <c r="E48" s="60"/>
      <c r="F48" s="60"/>
      <c r="G48" s="60"/>
    </row>
    <row customHeight="true" ht="27.380952380952383" r="49">
      <c r="A49" s="60" t="s">
        <v>273</v>
      </c>
      <c r="B49" s="60" t="s">
        <v>273</v>
      </c>
      <c r="C49" s="60" t="s">
        <v>273</v>
      </c>
      <c r="D49" s="60" t="s">
        <v>273</v>
      </c>
      <c r="E49" s="60" t="s">
        <v>273</v>
      </c>
      <c r="F49" s="60" t="s">
        <v>273</v>
      </c>
      <c r="G49" s="60" t="s">
        <v>273</v>
      </c>
    </row>
    <row customHeight="true" ht="27.380952380952383" r="50">
      <c r="A50" s="60" t="s">
        <v>273</v>
      </c>
      <c r="B50" s="60" t="s">
        <v>273</v>
      </c>
      <c r="C50" s="60" t="s">
        <v>273</v>
      </c>
      <c r="D50" s="60" t="s">
        <v>273</v>
      </c>
      <c r="E50" s="60" t="s">
        <v>273</v>
      </c>
      <c r="F50" s="60" t="s">
        <v>273</v>
      </c>
      <c r="G50" s="60" t="s">
        <v>273</v>
      </c>
    </row>
    <row customHeight="true" ht="27.380952380952383" r="51">
      <c r="A51" s="60" t="s">
        <v>273</v>
      </c>
      <c r="B51" s="60" t="s">
        <v>273</v>
      </c>
      <c r="C51" s="60" t="s">
        <v>273</v>
      </c>
      <c r="D51" s="60" t="s">
        <v>273</v>
      </c>
      <c r="E51" s="60" t="s">
        <v>273</v>
      </c>
      <c r="F51" s="60" t="s">
        <v>273</v>
      </c>
      <c r="G51" s="60" t="s">
        <v>273</v>
      </c>
    </row>
    <row customHeight="true" ht="27.380952380952383" r="52">
      <c r="A52" s="60" t="s">
        <v>273</v>
      </c>
      <c r="B52" s="60" t="s">
        <v>273</v>
      </c>
      <c r="C52" s="60" t="s">
        <v>273</v>
      </c>
      <c r="D52" s="60" t="s">
        <v>273</v>
      </c>
      <c r="E52" s="60" t="s">
        <v>273</v>
      </c>
      <c r="F52" s="60" t="s">
        <v>273</v>
      </c>
      <c r="G52" s="60" t="s">
        <v>273</v>
      </c>
    </row>
  </sheetData>
  <mergeCells>
    <mergeCell ref="A1:G1"/>
    <mergeCell ref="A41:G41"/>
    <mergeCell ref="A42:G42"/>
    <mergeCell ref="A43:G43"/>
    <mergeCell ref="A44:G44"/>
    <mergeCell ref="A45:G45"/>
    <mergeCell ref="A46:G46"/>
    <mergeCell ref="A47:G47"/>
    <mergeCell ref="A48:G48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{"Label":"1","ContentProducer":"001191110102MACQD9K64010000","ProduceID":"7694931848297073606","ReservedCode1":"","ContentPropagator":"","PropagateID":"","ReservedCode2":""}</vt:lpwstr>
  </property>
</Properties>
</file>